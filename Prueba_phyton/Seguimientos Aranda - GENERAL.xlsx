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8.xml" ContentType="application/vnd.openxmlformats-officedocument.spreadsheetml.table+xml"/>
  <Override PartName="/xl/tables/table16.xml" ContentType="application/vnd.openxmlformats-officedocument.spreadsheetml.table+xml"/>
  <Override PartName="/xl/tables/table10.xml" ContentType="application/vnd.openxmlformats-officedocument.spreadsheetml.table+xml"/>
  <Override PartName="/xl/tables/table1.xml" ContentType="application/vnd.openxmlformats-officedocument.spreadsheetml.table+xml"/>
  <Override PartName="/xl/tables/table13.xml" ContentType="application/vnd.openxmlformats-officedocument.spreadsheetml.table+xml"/>
  <Override PartName="/xl/tables/table12.xml" ContentType="application/vnd.openxmlformats-officedocument.spreadsheetml.table+xml"/>
  <Override PartName="/xl/tables/table4.xml" ContentType="application/vnd.openxmlformats-officedocument.spreadsheetml.table+xml"/>
  <Override PartName="/xl/tables/table15.xml" ContentType="application/vnd.openxmlformats-officedocument.spreadsheetml.table+xml"/>
  <Override PartName="/xl/tables/table3.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11.xml" ContentType="application/vnd.openxmlformats-officedocument.spreadsheetml.table+xml"/>
  <Override PartName="/xl/tables/table7.xml" ContentType="application/vnd.openxmlformats-officedocument.spreadsheetml.table+xml"/>
  <Override PartName="/xl/tables/table9.xml" ContentType="application/vnd.openxmlformats-officedocument.spreadsheetml.table+xml"/>
  <Override PartName="/xl/tables/table2.xml" ContentType="application/vnd.openxmlformats-officedocument.spreadsheetml.table+xml"/>
  <Override PartName="/xl/tables/table14.xml" ContentType="application/vnd.openxmlformats-officedocument.spreadsheetml.table+xml"/>
  <Override PartName="/xl/tables/table17.xml" ContentType="application/vnd.openxmlformats-officedocument.spreadsheetml.table+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6. OFICINA JUNIO 2026" sheetId="1" state="visible" r:id="rId3"/>
    <sheet name="2. OFICINA FEBRERO 2026" sheetId="2" state="hidden" r:id="rId4"/>
    <sheet name="3. OFICINA MARZO 2026" sheetId="3" state="hidden" r:id="rId5"/>
    <sheet name="1. PUERTOS USB OFICINA ENERO 20" sheetId="4" state="hidden" r:id="rId6"/>
    <sheet name="2. PUERTOS USB OFICINA FEBRERO " sheetId="5" state="hidden" r:id="rId7"/>
    <sheet name="3. PUERTOS USB OFICINA MARZO 20" sheetId="6" state="hidden" r:id="rId8"/>
    <sheet name="3. ECOMERCE MARZO 2026" sheetId="7" state="hidden" r:id="rId9"/>
    <sheet name="4. OFICINA ABRIL 2026" sheetId="8" state="hidden" r:id="rId10"/>
    <sheet name="4. PUERTOS USB OFICINA ABRIL 20" sheetId="9" state="hidden" r:id="rId11"/>
    <sheet name="5. OFICINA MAYO 2026" sheetId="10" state="hidden" r:id="rId12"/>
    <sheet name="5. PUERTOS USB OFICINA MAYO 202" sheetId="11" state="hidden" r:id="rId13"/>
    <sheet name="1. OFICINA ENERO 2026" sheetId="12" state="visible" r:id="rId14"/>
    <sheet name="6. PUERTOS USB OFICINA JUNIO 20" sheetId="13" state="visible" r:id="rId15"/>
    <sheet name="6. ECOMMERCE JUNIO 2026" sheetId="14" state="visible" r:id="rId16"/>
    <sheet name="TABLA EN LIMPIO" sheetId="15" state="visible" r:id="rId17"/>
    <sheet name="MENSAJE" sheetId="16" state="visible" r:id="rId18"/>
    <sheet name="HISTORIAL OFICINA 2026" sheetId="17" state="visible" r:id="rId19"/>
    <sheet name="HISTORIA PUERTOS USB 2026" sheetId="18" state="visible" r:id="rId20"/>
    <sheet name="CHEKLIST" sheetId="19" state="visible" r:id="rId2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<sst xmlns="http://schemas.openxmlformats.org/spreadsheetml/2006/main" count="2463" uniqueCount="899">
  <si>
    <t xml:space="preserve">Hostname</t>
  </si>
  <si>
    <t xml:space="preserve">Nombre</t>
  </si>
  <si>
    <t xml:space="preserve">Correo</t>
  </si>
  <si>
    <t xml:space="preserve">IP</t>
  </si>
  <si>
    <t xml:space="preserve">ADM</t>
  </si>
  <si>
    <t xml:space="preserve">Formato</t>
  </si>
  <si>
    <t xml:space="preserve">Estado </t>
  </si>
  <si>
    <t xml:space="preserve">PRPONSUAR074L</t>
  </si>
  <si>
    <t xml:space="preserve">NOHORA CECILIA SUAREZ UMA?A</t>
  </si>
  <si>
    <t xml:space="preserve">nohora.suarez@juanvaldezcafe.com</t>
  </si>
  <si>
    <t xml:space="preserve">172.25.0.96</t>
  </si>
  <si>
    <t xml:space="preserve">SI</t>
  </si>
  <si>
    <t xml:space="preserve">FORMATO CREADO</t>
  </si>
  <si>
    <t xml:space="preserve">COMPLETO</t>
  </si>
  <si>
    <t xml:space="preserve">PRPOJMESA163L</t>
  </si>
  <si>
    <t xml:space="preserve">JAVIER ALEXANDER MESA</t>
  </si>
  <si>
    <t xml:space="preserve">javier.mesa@juanvaldezcafe.com</t>
  </si>
  <si>
    <t xml:space="preserve">192.168.241.75</t>
  </si>
  <si>
    <t xml:space="preserve">PRPOAASCE491L</t>
  </si>
  <si>
    <t xml:space="preserve">ANDREA ESMERALDA ASCENCIO OLAYA</t>
  </si>
  <si>
    <t xml:space="preserve">andrea.ascencio@juanvaldezcafe.com</t>
  </si>
  <si>
    <t xml:space="preserve">192.168.1.17</t>
  </si>
  <si>
    <t xml:space="preserve">PRPOJPIRA835L</t>
  </si>
  <si>
    <t xml:space="preserve">JHON EDUARDO PIRACON TORRES</t>
  </si>
  <si>
    <t xml:space="preserve">jhon.piracon@juanvaldezcafe.com</t>
  </si>
  <si>
    <t xml:space="preserve">192.168.1.5</t>
  </si>
  <si>
    <t xml:space="preserve">PRPOFCABA372L</t>
  </si>
  <si>
    <t xml:space="preserve">192.168.241.60</t>
  </si>
  <si>
    <t xml:space="preserve">PRPOAGUTI301L</t>
  </si>
  <si>
    <t xml:space="preserve">192.168.0.27</t>
  </si>
  <si>
    <t xml:space="preserve">PRPOAESPI452L</t>
  </si>
  <si>
    <t xml:space="preserve">192.168.5.116</t>
  </si>
  <si>
    <t xml:space="preserve">PRPOCHIDAL395L</t>
  </si>
  <si>
    <t xml:space="preserve">192.168.1.14</t>
  </si>
  <si>
    <t xml:space="preserve">PRPOMHERR878LC</t>
  </si>
  <si>
    <t xml:space="preserve">MARIA PAULA HERRERA PARALES</t>
  </si>
  <si>
    <t xml:space="preserve">maria.herrera@juanvaldezcafe.com</t>
  </si>
  <si>
    <t xml:space="preserve">192.168.134.157</t>
  </si>
  <si>
    <t xml:space="preserve">PRPOLBARO113L</t>
  </si>
  <si>
    <t xml:space="preserve">192.168.0.10</t>
  </si>
  <si>
    <t xml:space="preserve">PRPOOPINE390L</t>
  </si>
  <si>
    <t xml:space="preserve">192.168.134.4</t>
  </si>
  <si>
    <t xml:space="preserve">PRPOAPERD236L</t>
  </si>
  <si>
    <t xml:space="preserve">192.168.241.172</t>
  </si>
  <si>
    <t xml:space="preserve">LSVPRAGARCIA535</t>
  </si>
  <si>
    <t xml:space="preserve">192.168.241.141</t>
  </si>
  <si>
    <t xml:space="preserve">PRPOJLOPE508L</t>
  </si>
  <si>
    <t xml:space="preserve">Johnnatan Vega Galindo</t>
  </si>
  <si>
    <t xml:space="preserve">johnnatan.vega.exttivit@juanvaldezcafe.com</t>
  </si>
  <si>
    <t xml:space="preserve">192.168.241.150</t>
  </si>
  <si>
    <t xml:space="preserve">NO</t>
  </si>
  <si>
    <t xml:space="preserve">PRPODAPON624L</t>
  </si>
  <si>
    <t xml:space="preserve">192.168.240.241</t>
  </si>
  <si>
    <t xml:space="preserve">PRPOLPERE498L</t>
  </si>
  <si>
    <t xml:space="preserve">192.168.240.98</t>
  </si>
  <si>
    <t xml:space="preserve">PRPOEALAR908L</t>
  </si>
  <si>
    <t xml:space="preserve">192.168.241.110</t>
  </si>
  <si>
    <t xml:space="preserve">PRPOVGIL059L</t>
  </si>
  <si>
    <t xml:space="preserve">192.168.134.84</t>
  </si>
  <si>
    <t xml:space="preserve">PRPOLSANTA872L</t>
  </si>
  <si>
    <t xml:space="preserve">192.168.134.205</t>
  </si>
  <si>
    <t xml:space="preserve">PRPOVGARC380L</t>
  </si>
  <si>
    <t xml:space="preserve">192.168.134.138</t>
  </si>
  <si>
    <t xml:space="preserve">PRPOLPINZ629L</t>
  </si>
  <si>
    <t xml:space="preserve">192.168.134.188</t>
  </si>
  <si>
    <t xml:space="preserve">HOSTNAME</t>
  </si>
  <si>
    <t xml:space="preserve">PRPOYMONT339L</t>
  </si>
  <si>
    <t xml:space="preserve">YULIET ESTEFANIA MONTOYA OBANDO</t>
  </si>
  <si>
    <t xml:space="preserve">yuliet.montoya@juanvaldezcafe.com</t>
  </si>
  <si>
    <t xml:space="preserve">CONTACTADO</t>
  </si>
  <si>
    <t xml:space="preserve">PRPOJAREV649L</t>
  </si>
  <si>
    <t xml:space="preserve">JUAN CAMILO AREVALO BOHORQUEZ</t>
  </si>
  <si>
    <t xml:space="preserve">camilo.arevalo@juanvaldezcafe.com</t>
  </si>
  <si>
    <t xml:space="preserve">10.0.4.86</t>
  </si>
  <si>
    <t xml:space="preserve">REALIZADO</t>
  </si>
  <si>
    <t xml:space="preserve">PRPOMRODR033L</t>
  </si>
  <si>
    <t xml:space="preserve">MARIA FERNANDA RODRIGUEZ PINEDA</t>
  </si>
  <si>
    <t xml:space="preserve">fernanda.rodriguez@juanvaldezcafe.com
</t>
  </si>
  <si>
    <t xml:space="preserve">192.168.20.102</t>
  </si>
  <si>
    <t xml:space="preserve">PRPONSUAR987L</t>
  </si>
  <si>
    <t xml:space="preserve">NINY YOHANA SUAREZ GALINDO</t>
  </si>
  <si>
    <t xml:space="preserve">ninyy.suarez@juanvaldezcafe.com
</t>
  </si>
  <si>
    <t xml:space="preserve">192.168.10.6</t>
  </si>
  <si>
    <t xml:space="preserve">PRPOAMUNO546L</t>
  </si>
  <si>
    <t xml:space="preserve">ALITXA MUNOS</t>
  </si>
  <si>
    <t xml:space="preserve">alitxay.munoz@juanvaldezcafe.com</t>
  </si>
  <si>
    <t xml:space="preserve">192.168.1.7</t>
  </si>
  <si>
    <t xml:space="preserve">PRPOJPOSA351L</t>
  </si>
  <si>
    <t xml:space="preserve">PRPOJMENDO156L</t>
  </si>
  <si>
    <t xml:space="preserve">JOSE RAFAEL MENDOZA LEON</t>
  </si>
  <si>
    <t xml:space="preserve">jose.mendoza@juanvaldezcafe.com</t>
  </si>
  <si>
    <t xml:space="preserve">10.10.122.189</t>
  </si>
  <si>
    <t xml:space="preserve">PRPODCABE810L</t>
  </si>
  <si>
    <t xml:space="preserve">DANNA VALENTINA CABEZAS BRAVO</t>
  </si>
  <si>
    <t xml:space="preserve">danna.cabezas@juanvaldezcafe.com</t>
  </si>
  <si>
    <t xml:space="preserve">172.25.0.10</t>
  </si>
  <si>
    <t xml:space="preserve">PRPOWIBAR033L</t>
  </si>
  <si>
    <t xml:space="preserve">WILSON ANDRES IBARGUEN</t>
  </si>
  <si>
    <t xml:space="preserve">andres.ibarguen@juanvaldezcafe.com</t>
  </si>
  <si>
    <t xml:space="preserve">PRPOVGOME999LC</t>
  </si>
  <si>
    <t xml:space="preserve">VALERIA GOMEZ GIRALDO</t>
  </si>
  <si>
    <t xml:space="preserve">valeria.gomez@juanvaldezcafe.com</t>
  </si>
  <si>
    <t xml:space="preserve">172.25.0.70</t>
  </si>
  <si>
    <t xml:space="preserve">PRPOACABE359L</t>
  </si>
  <si>
    <t xml:space="preserve">ASBLEIDY JARITZA CABEZA PRECIADO</t>
  </si>
  <si>
    <t xml:space="preserve">asbleidy.cabeza@juanvaldezcafe.com
</t>
  </si>
  <si>
    <t xml:space="preserve">172.25.0.32</t>
  </si>
  <si>
    <t xml:space="preserve">PRPOARODR828L</t>
  </si>
  <si>
    <t xml:space="preserve">ANDREA CATALINA RODRIGUEZ MORENO</t>
  </si>
  <si>
    <t xml:space="preserve">catalina.rodriguez@juanvaldezcafe.com</t>
  </si>
  <si>
    <t xml:space="preserve">172.25.0.99</t>
  </si>
  <si>
    <t xml:space="preserve">PRPOSBETA096L</t>
  </si>
  <si>
    <t xml:space="preserve">SINDY VANESSA BETANCOURT</t>
  </si>
  <si>
    <t xml:space="preserve">sindy.betancourt@juanvaldezcafe.com</t>
  </si>
  <si>
    <t xml:space="preserve">172.25.0.59</t>
  </si>
  <si>
    <t xml:space="preserve">PRPOYREST371L</t>
  </si>
  <si>
    <t xml:space="preserve">N/A</t>
  </si>
  <si>
    <t xml:space="preserve">PRPOJCARV929L</t>
  </si>
  <si>
    <t xml:space="preserve">PRPOSCARD336L</t>
  </si>
  <si>
    <t xml:space="preserve">Stefania Cardenas Amaya</t>
  </si>
  <si>
    <t xml:space="preserve">PRPOAPARD100L</t>
  </si>
  <si>
    <t xml:space="preserve">PRPONBETA989L</t>
  </si>
  <si>
    <t xml:space="preserve">PRPOMCADE594L</t>
  </si>
  <si>
    <t xml:space="preserve">PRPOSCARD797L</t>
  </si>
  <si>
    <t xml:space="preserve">PRPOCTASC617L</t>
  </si>
  <si>
    <t xml:space="preserve">CRISTINA TASCON DUQUE</t>
  </si>
  <si>
    <t xml:space="preserve">cristina.tascon@juanvaldezcafe.com</t>
  </si>
  <si>
    <t xml:space="preserve">172.25.0.35</t>
  </si>
  <si>
    <t xml:space="preserve">PRPOCROSA548L</t>
  </si>
  <si>
    <t xml:space="preserve">CARLOS ADOLFO ROSALES OSORIO</t>
  </si>
  <si>
    <t xml:space="preserve">carlos.rosales@juanvaldezcafe.com</t>
  </si>
  <si>
    <t xml:space="preserve">172.25.0.12</t>
  </si>
  <si>
    <t xml:space="preserve">PRPOVGOME016L</t>
  </si>
  <si>
    <t xml:space="preserve">PRPOVSIER907L</t>
  </si>
  <si>
    <t xml:space="preserve">VALENTINA SIERRA FUENTES</t>
  </si>
  <si>
    <t xml:space="preserve">valentina.sierra@juanvaldezcafe.com</t>
  </si>
  <si>
    <t xml:space="preserve">172.25.0.110</t>
  </si>
  <si>
    <t xml:space="preserve">PRPOFCARD242L</t>
  </si>
  <si>
    <t xml:space="preserve">FELIPE CARDOZO FORERO</t>
  </si>
  <si>
    <t xml:space="preserve">felipe.cardozo@juanvaldezcafe.com</t>
  </si>
  <si>
    <t xml:space="preserve">10.0.71.63</t>
  </si>
  <si>
    <t xml:space="preserve">PRPOMMOSQ697L</t>
  </si>
  <si>
    <t xml:space="preserve">MARIA FERNANDA MOSQUERA VILLAMIL</t>
  </si>
  <si>
    <t xml:space="preserve">maria.mosquera@juanvaldezcafe.com</t>
  </si>
  <si>
    <t xml:space="preserve">192.168.241.12</t>
  </si>
  <si>
    <t xml:space="preserve">PRPONULLO432L</t>
  </si>
  <si>
    <t xml:space="preserve">NATALIA ULLOA PEREZ</t>
  </si>
  <si>
    <t xml:space="preserve">natalia.ulloa@juanvaldezcafe.com</t>
  </si>
  <si>
    <t xml:space="preserve">192.168.1.12</t>
  </si>
  <si>
    <t xml:space="preserve">PRPOSPENA896L</t>
  </si>
  <si>
    <t xml:space="preserve">SEBASTIAN CAMILO PEÑA CORTES</t>
  </si>
  <si>
    <t xml:space="preserve">sebastian.pena@juanvaldezcafe.com</t>
  </si>
  <si>
    <t xml:space="preserve">172.25.0.119</t>
  </si>
  <si>
    <t xml:space="preserve">PRPOJVARG776L</t>
  </si>
  <si>
    <t xml:space="preserve">JURITZA VARGAS CUADROS</t>
  </si>
  <si>
    <t xml:space="preserve">juritza.vargas@juanvaldezcafe.com</t>
  </si>
  <si>
    <t xml:space="preserve">192.168.1.3</t>
  </si>
  <si>
    <t xml:space="preserve">PRPOALOPE905L</t>
  </si>
  <si>
    <t xml:space="preserve">ANDRES LOPEZ</t>
  </si>
  <si>
    <t xml:space="preserve">camilo.lopez@juanvaldezcafe.com</t>
  </si>
  <si>
    <t xml:space="preserve">172.25.0.137</t>
  </si>
  <si>
    <t xml:space="preserve">PRPOCMESA907L</t>
  </si>
  <si>
    <t xml:space="preserve">CATALINA MESA RAMOS</t>
  </si>
  <si>
    <t xml:space="preserve">catalina.mesa@juanvaldezcafe.com</t>
  </si>
  <si>
    <t xml:space="preserve">172.25.0.26</t>
  </si>
  <si>
    <t xml:space="preserve">PRPOMSUAR224L</t>
  </si>
  <si>
    <t xml:space="preserve">PRPOJARIS931L</t>
  </si>
  <si>
    <t xml:space="preserve">JUDITH NATALIA ARISTIZABAL RAMIREZ</t>
  </si>
  <si>
    <t xml:space="preserve">judith.aristizabal@juanvaldezcafe.com</t>
  </si>
  <si>
    <t xml:space="preserve">172.25.0.44</t>
  </si>
  <si>
    <t xml:space="preserve">PRPOJHOYO371L</t>
  </si>
  <si>
    <t xml:space="preserve">JUAN FRANCISCO HOYOS CEPEDA</t>
  </si>
  <si>
    <t xml:space="preserve">juan.hoyos@juanvaldezcafe.com</t>
  </si>
  <si>
    <t xml:space="preserve">172.25.0.78</t>
  </si>
  <si>
    <t xml:space="preserve">PRPODSOTO188L</t>
  </si>
  <si>
    <t xml:space="preserve">PRPOGCAMA166L</t>
  </si>
  <si>
    <t xml:space="preserve">GIOVANNY ALEJANDRO CAMACHO HEREDIA</t>
  </si>
  <si>
    <t xml:space="preserve">192.168.1.10</t>
  </si>
  <si>
    <t xml:space="preserve">PRPOLCAST498L</t>
  </si>
  <si>
    <t xml:space="preserve">PRPOKPERE653L</t>
  </si>
  <si>
    <t xml:space="preserve">PRPOMOSOR137L</t>
  </si>
  <si>
    <t xml:space="preserve">MARIANA SOFIA OSORIO GARZON</t>
  </si>
  <si>
    <t xml:space="preserve">mariana.osorio@juanvaldezcafe.com</t>
  </si>
  <si>
    <t xml:space="preserve">PRPOMRODR445L</t>
  </si>
  <si>
    <t xml:space="preserve">PRPOJMEND844L</t>
  </si>
  <si>
    <t xml:space="preserve">PRPOLOSOR642L</t>
  </si>
  <si>
    <t xml:space="preserve">LAURA ANGELICA OSORIO RODRIGUEZ</t>
  </si>
  <si>
    <t xml:space="preserve">laura.osorio@juanvaldezcafe.com
</t>
  </si>
  <si>
    <t xml:space="preserve">PRPOMBOTE264L</t>
  </si>
  <si>
    <t xml:space="preserve">PRPOJQUIN080L</t>
  </si>
  <si>
    <t xml:space="preserve">PRPOAGUAC029L</t>
  </si>
  <si>
    <t xml:space="preserve">ALEXANDER GUACHETA DAGUA</t>
  </si>
  <si>
    <t xml:space="preserve">alexander.guacheta@juanvaldezcafe.com
</t>
  </si>
  <si>
    <t xml:space="preserve">10.0.76.100</t>
  </si>
  <si>
    <t xml:space="preserve">PRPOPDIAZ528L</t>
  </si>
  <si>
    <t xml:space="preserve">PABLO DIAZ GONZALEZ</t>
  </si>
  <si>
    <t xml:space="preserve">pablo.diaz@juanvaldezcafe.com
</t>
  </si>
  <si>
    <t xml:space="preserve">10.0.232.191</t>
  </si>
  <si>
    <t xml:space="preserve">PRPOVORTI885L</t>
  </si>
  <si>
    <t xml:space="preserve">VICTOR ALFONSO ORTIZ LEON</t>
  </si>
  <si>
    <t xml:space="preserve">victor.ortiz@juanvaldezcafe.com</t>
  </si>
  <si>
    <t xml:space="preserve">192.168.1.9</t>
  </si>
  <si>
    <t xml:space="preserve">PRPODVARG943L</t>
  </si>
  <si>
    <t xml:space="preserve">DANIEL VARGAS SARMIENTO</t>
  </si>
  <si>
    <t xml:space="preserve">daniel.vargas@juanvaldezcafe.com</t>
  </si>
  <si>
    <t xml:space="preserve">192.168.240.64</t>
  </si>
  <si>
    <t xml:space="preserve">PRPONSIMA576L</t>
  </si>
  <si>
    <t xml:space="preserve">NATALIA DEL PILAR SIMARRA CASSIANI</t>
  </si>
  <si>
    <t xml:space="preserve">natalia.simarra@juanvaldezcafe.com
</t>
  </si>
  <si>
    <t xml:space="preserve">192.168.90.66</t>
  </si>
  <si>
    <t xml:space="preserve">PRPOJBOTEL259L</t>
  </si>
  <si>
    <t xml:space="preserve">JESUS ALBEIRO BOTELLO ORTEGA</t>
  </si>
  <si>
    <t xml:space="preserve">jesus.botello@juanvaldezcafe.com
</t>
  </si>
  <si>
    <t xml:space="preserve">192.168.0.17</t>
  </si>
  <si>
    <t xml:space="preserve">192.168.80.14</t>
  </si>
  <si>
    <t xml:space="preserve">HECHO  </t>
  </si>
  <si>
    <t xml:space="preserve">fernanda.rodriguez@juanvaldezcafe.com</t>
  </si>
  <si>
    <t xml:space="preserve">192.168.1.8</t>
  </si>
  <si>
    <t xml:space="preserve">FUERA DE LA OFICINA</t>
  </si>
  <si>
    <t xml:space="preserve">JUANITA POSADA MOTTA</t>
  </si>
  <si>
    <t xml:space="preserve">juanita.posada@juanvaldezcafe.com</t>
  </si>
  <si>
    <t xml:space="preserve">192.168.68.105</t>
  </si>
  <si>
    <t xml:space="preserve">10.10.12.254</t>
  </si>
  <si>
    <t xml:space="preserve">PRPOVGOME999L</t>
  </si>
  <si>
    <t xml:space="preserve">PRPOMCARD135L</t>
  </si>
  <si>
    <t xml:space="preserve">MANUELA CARDONA ALZATE</t>
  </si>
  <si>
    <t xml:space="preserve">manuela.cardona@juanvaldezcafe.com</t>
  </si>
  <si>
    <t xml:space="preserve">192.168.101.9</t>
  </si>
  <si>
    <t xml:space="preserve">PRPOARODR097L</t>
  </si>
  <si>
    <t xml:space="preserve">ALEJANDRA RODRIGUEZ</t>
  </si>
  <si>
    <t xml:space="preserve">alejandra.rodriguez@juanvaldezcafe.com</t>
  </si>
  <si>
    <t xml:space="preserve">10.0.234.242</t>
  </si>
  <si>
    <t xml:space="preserve">revisoriafiscal@juanvaldezcafe.com</t>
  </si>
  <si>
    <t xml:space="preserve">PRPOSCUBI315L</t>
  </si>
  <si>
    <t xml:space="preserve">SANTIAGO CUBILLOS CAMACHO</t>
  </si>
  <si>
    <t xml:space="preserve">santiago.cubillos@juanvaldezcafe.com</t>
  </si>
  <si>
    <t xml:space="preserve">172.25.0.13</t>
  </si>
  <si>
    <t xml:space="preserve">PRPOPCEPE771L</t>
  </si>
  <si>
    <t xml:space="preserve">PAULA ALEJANDRA CEPEDA CUBIDES</t>
  </si>
  <si>
    <t xml:space="preserve">paula.cepeda@juanvaldezcafe.com</t>
  </si>
  <si>
    <t xml:space="preserve">192.168.240.73</t>
  </si>
  <si>
    <t xml:space="preserve">PRPONBUIT145L</t>
  </si>
  <si>
    <t xml:space="preserve">NICOL VANESSA BUITRAGO OROZCO</t>
  </si>
  <si>
    <t xml:space="preserve">nicole.buitrago@juanvaldezcafe.com</t>
  </si>
  <si>
    <t xml:space="preserve">192.168.240.36</t>
  </si>
  <si>
    <t xml:space="preserve">PRPOSABUC463L</t>
  </si>
  <si>
    <t xml:space="preserve">SHANTAL ABUCHAR DUQUE</t>
  </si>
  <si>
    <t xml:space="preserve">shantal.abuchar@juanvaldezcafe.com</t>
  </si>
  <si>
    <t xml:space="preserve">172.20.10.2</t>
  </si>
  <si>
    <t xml:space="preserve">PRPOMMONT127L</t>
  </si>
  <si>
    <t xml:space="preserve">MARIA ANTONIA MONTOYA VALENCIA</t>
  </si>
  <si>
    <t xml:space="preserve">maria.montoya@juanvaldezcafe.com</t>
  </si>
  <si>
    <t xml:space="preserve">PRPOMCAMA920L</t>
  </si>
  <si>
    <t xml:space="preserve">MARIANA CAMARGO OSORIO</t>
  </si>
  <si>
    <t xml:space="preserve">mariana.camargo@juanvaldezcafe.com</t>
  </si>
  <si>
    <t xml:space="preserve">192.168.1.56</t>
  </si>
  <si>
    <t xml:space="preserve">PRPOCCRUZ534L</t>
  </si>
  <si>
    <t xml:space="preserve">CARLOS ANDRES CRUZ VILLARRAGA</t>
  </si>
  <si>
    <t xml:space="preserve">carlos.cruz@juanvaldezcafe.com</t>
  </si>
  <si>
    <t xml:space="preserve">192.168.1.20</t>
  </si>
  <si>
    <t xml:space="preserve">PRPOIRODR409L</t>
  </si>
  <si>
    <t xml:space="preserve">INGRID YURANNY RODRIGUEZ ESCOBAR</t>
  </si>
  <si>
    <t xml:space="preserve">yuranny.rodriguez@juanvaldezcafe.com</t>
  </si>
  <si>
    <t xml:space="preserve">192.168.240.52</t>
  </si>
  <si>
    <t xml:space="preserve">PRPODDOMI212L</t>
  </si>
  <si>
    <t xml:space="preserve">DANIEL NICOLAS DOMINGUEZ HERNANDEZ</t>
  </si>
  <si>
    <t xml:space="preserve">daniel.dominguez@juanvaldezcafe.com</t>
  </si>
  <si>
    <t xml:space="preserve">PRPOVLOPE826L</t>
  </si>
  <si>
    <t xml:space="preserve">VIVIANA VALENTINA LOPEZ VILLAMIL</t>
  </si>
  <si>
    <t xml:space="preserve">valentina.lopez@juanvaldezcafe.com</t>
  </si>
  <si>
    <t xml:space="preserve">PRPOGESPI308L</t>
  </si>
  <si>
    <t xml:space="preserve">GABRIELLA ESPITIA</t>
  </si>
  <si>
    <t xml:space="preserve">gabriela.espitia@juanvaldezcafe.com</t>
  </si>
  <si>
    <t xml:space="preserve">172.25.0.136</t>
  </si>
  <si>
    <t xml:space="preserve">PRPOKBAQU733L</t>
  </si>
  <si>
    <t xml:space="preserve">KATHERINE BAQUERO ARAUJO</t>
  </si>
  <si>
    <t xml:space="preserve">katherine.baquero@juanvaldezcafe.com</t>
  </si>
  <si>
    <t xml:space="preserve">10.0.5.116</t>
  </si>
  <si>
    <t xml:space="preserve">PRPOJYANK013L</t>
  </si>
  <si>
    <t xml:space="preserve">JIMENA YANKEN GONZALEZ</t>
  </si>
  <si>
    <t xml:space="preserve">jimena.yanken@juanvaldezcafe.com</t>
  </si>
  <si>
    <t xml:space="preserve">172.25.0.37</t>
  </si>
  <si>
    <t xml:space="preserve">jesus.botello@juanvaldezcafe.com</t>
  </si>
  <si>
    <t xml:space="preserve">10.44.184.235</t>
  </si>
  <si>
    <t xml:space="preserve">PRPOESALA416L</t>
  </si>
  <si>
    <t xml:space="preserve">Sin Info</t>
  </si>
  <si>
    <t xml:space="preserve">PRPOGGONZ048L</t>
  </si>
  <si>
    <t xml:space="preserve">GIRLESA JOHANNA GONZALEZ CALDERON</t>
  </si>
  <si>
    <t xml:space="preserve">girlesa.gonzalez@juanvaldezcafe.com</t>
  </si>
  <si>
    <t xml:space="preserve">192.168.1.4</t>
  </si>
  <si>
    <t xml:space="preserve">HECHO EN ENERO</t>
  </si>
  <si>
    <t xml:space="preserve">PRPOLDAZA689L</t>
  </si>
  <si>
    <t xml:space="preserve">LUZ MARINA DAZA</t>
  </si>
  <si>
    <t xml:space="preserve">luz.daza@juanvaldezcafe.com</t>
  </si>
  <si>
    <t xml:space="preserve">192.168.241.35</t>
  </si>
  <si>
    <t xml:space="preserve">PRPOJRUIZ135L</t>
  </si>
  <si>
    <t xml:space="preserve">JUAN JOSE RUIZ MENDOZA</t>
  </si>
  <si>
    <t xml:space="preserve">juan.ruiz@juanvaldezcafe.com</t>
  </si>
  <si>
    <t xml:space="preserve">192.168.1.2</t>
  </si>
  <si>
    <t xml:space="preserve">PRPOLAROC763l</t>
  </si>
  <si>
    <t xml:space="preserve">LUIS CARLOS AROCHA PRADA</t>
  </si>
  <si>
    <t xml:space="preserve">luis.arocha@juanvaldezcafe.com</t>
  </si>
  <si>
    <t xml:space="preserve">10.0.1.246</t>
  </si>
  <si>
    <t xml:space="preserve">PRPOJPONC776L</t>
  </si>
  <si>
    <t xml:space="preserve">JESSICA PONCE DURAN</t>
  </si>
  <si>
    <t xml:space="preserve">jessica.ponce@juanvaldezcafe.com</t>
  </si>
  <si>
    <t xml:space="preserve">10.10.36.139</t>
  </si>
  <si>
    <t xml:space="preserve">ANDRES MAURICIO ESPINOSA GARCIA</t>
  </si>
  <si>
    <t xml:space="preserve">andres.espinosa@juanvaldezcafe.com</t>
  </si>
  <si>
    <t xml:space="preserve">192.168.5.111</t>
  </si>
  <si>
    <t xml:space="preserve">PRPOCDELG286L</t>
  </si>
  <si>
    <t xml:space="preserve">CLAUDIA PATRICIA DELGADO MALDONADO</t>
  </si>
  <si>
    <t xml:space="preserve">claudia.delgado@juanvaldezcafe.com</t>
  </si>
  <si>
    <t xml:space="preserve">10.0.71.70</t>
  </si>
  <si>
    <t xml:space="preserve">PRPOSBOLI448L</t>
  </si>
  <si>
    <t xml:space="preserve">SANDRA JANNETH BOLIVAR ROJAS</t>
  </si>
  <si>
    <t xml:space="preserve">sandra.bolivar@juanvaldezcafe.com</t>
  </si>
  <si>
    <t xml:space="preserve">PRPOMLOAI816L</t>
  </si>
  <si>
    <t xml:space="preserve">MARIA CELESTE LOAIZA VALENCIA</t>
  </si>
  <si>
    <t xml:space="preserve">maria.loaiza@juanvaldezcafe.com</t>
  </si>
  <si>
    <t xml:space="preserve">PRPOPRIAN625L</t>
  </si>
  <si>
    <t xml:space="preserve">PAULA ANDREA RIAÑO PINEDA</t>
  </si>
  <si>
    <t xml:space="preserve">paula.riano@juanvaldezcafe.com</t>
  </si>
  <si>
    <t xml:space="preserve">192.168.134.16</t>
  </si>
  <si>
    <t xml:space="preserve">PRPOSSAEN342L</t>
  </si>
  <si>
    <t xml:space="preserve">SHIRLY DAYANE SAENZ GIRALDO</t>
  </si>
  <si>
    <t xml:space="preserve">shirly.saenz@juanvaldezcafe.com</t>
  </si>
  <si>
    <t xml:space="preserve">172.25.0.24</t>
  </si>
  <si>
    <t xml:space="preserve">PRPOYBRAV430L</t>
  </si>
  <si>
    <t xml:space="preserve">YESSENIA MARIA BRAVO CHIRVA</t>
  </si>
  <si>
    <t xml:space="preserve">yessenia.bravo@juanvaldezcafe.com</t>
  </si>
  <si>
    <t xml:space="preserve">PRPOMCARV135L</t>
  </si>
  <si>
    <t xml:space="preserve">MANUEL ALEJANDRO CARVAJAL LEON</t>
  </si>
  <si>
    <t xml:space="preserve">manuel.carvajal@juanvaldezcafe.com</t>
  </si>
  <si>
    <t xml:space="preserve">192.168.134.41</t>
  </si>
  <si>
    <t xml:space="preserve">PRPOVGRAC846L</t>
  </si>
  <si>
    <t xml:space="preserve">VERONICA JOHANA GRACIANO VARGAS</t>
  </si>
  <si>
    <t xml:space="preserve">veronica.graciano@juanvaldezcafe.com</t>
  </si>
  <si>
    <t xml:space="preserve">10.174.23.194</t>
  </si>
  <si>
    <t xml:space="preserve">PRPOECAST120L</t>
  </si>
  <si>
    <t xml:space="preserve">ELIANA VALENTINA CASTILLO GUTIERREZ</t>
  </si>
  <si>
    <t xml:space="preserve">eliana.castillo@juanvaldezcafe.com</t>
  </si>
  <si>
    <t xml:space="preserve">192.168.134.24</t>
  </si>
  <si>
    <t xml:space="preserve">PRPOSMEJI515L</t>
  </si>
  <si>
    <t xml:space="preserve">SEBASTIAN MEJIA SALAZAR</t>
  </si>
  <si>
    <t xml:space="preserve">sebastian.mejia@juanvaldezcafe.com</t>
  </si>
  <si>
    <t xml:space="preserve">PRPOKSUAR946L</t>
  </si>
  <si>
    <t xml:space="preserve">KAREN XIMENA SUAREZ GUACANEME</t>
  </si>
  <si>
    <t xml:space="preserve">karen.suarez@juanvaldezcafe.com</t>
  </si>
  <si>
    <t xml:space="preserve">10.0.71.37</t>
  </si>
  <si>
    <t xml:space="preserve">PRPOOYUST903L</t>
  </si>
  <si>
    <t xml:space="preserve">OSCAR DAVID YUSTRE TRUJILLO</t>
  </si>
  <si>
    <t xml:space="preserve">oscar.yustre@juanvaldezcafe.com</t>
  </si>
  <si>
    <t xml:space="preserve">PRPOASIER771L</t>
  </si>
  <si>
    <t xml:space="preserve">ANDRES FELIPE SIERRA SANCHEZ</t>
  </si>
  <si>
    <t xml:space="preserve">andres.sierra@juanvaldezcafe.com</t>
  </si>
  <si>
    <t xml:space="preserve">10.0.234.249</t>
  </si>
  <si>
    <t xml:space="preserve">PRPOJAVILA986L</t>
  </si>
  <si>
    <t xml:space="preserve">JOHN ANDERSON AVILA RIAÑO</t>
  </si>
  <si>
    <t xml:space="preserve">john.avila@juanvaldezcafe.com</t>
  </si>
  <si>
    <t xml:space="preserve">172.25.0.76</t>
  </si>
  <si>
    <t xml:space="preserve">PRPODNOVO687L</t>
  </si>
  <si>
    <t xml:space="preserve">DANIELA SOFIA NOVOA CELIS</t>
  </si>
  <si>
    <t xml:space="preserve">daniela.novoa@juanvaldezcafe.com</t>
  </si>
  <si>
    <t xml:space="preserve">172.25.0.2</t>
  </si>
  <si>
    <t xml:space="preserve">PRPOAHERR316L</t>
  </si>
  <si>
    <t xml:space="preserve">ANLLY CAROLINA HERRERA RAMOS</t>
  </si>
  <si>
    <t xml:space="preserve">anlly.herrera@juanvaldezcafe.com</t>
  </si>
  <si>
    <t xml:space="preserve">192.168.40.73</t>
  </si>
  <si>
    <t xml:space="preserve">HOSTNAE</t>
  </si>
  <si>
    <t xml:space="preserve">NOMBRE COMPLETO</t>
  </si>
  <si>
    <t xml:space="preserve">CORREO</t>
  </si>
  <si>
    <t xml:space="preserve">FORMATO</t>
  </si>
  <si>
    <t xml:space="preserve">PRPOJSANC200L</t>
  </si>
  <si>
    <t xml:space="preserve">JOHANNA MARCELA SANCHEZ FRAILE</t>
  </si>
  <si>
    <t xml:space="preserve">johanna.sanchez@juanvaldezcafe.com</t>
  </si>
  <si>
    <t xml:space="preserve">192.168.240.46</t>
  </si>
  <si>
    <t xml:space="preserve">PRPOSTORR404L</t>
  </si>
  <si>
    <t xml:space="preserve">SANDRA PATRICIA TORRES MONROY</t>
  </si>
  <si>
    <t xml:space="preserve">patricia.torres@juanvaldezcafe.com</t>
  </si>
  <si>
    <t xml:space="preserve">192.168.241.70</t>
  </si>
  <si>
    <t xml:space="preserve">si</t>
  </si>
  <si>
    <t xml:space="preserve">PRPOPRIVE814L</t>
  </si>
  <si>
    <t xml:space="preserve">Paula Andrea Rivera Vanegas</t>
  </si>
  <si>
    <t xml:space="preserve">paula.rivera.exttivit@juanvaldezcafe.com</t>
  </si>
  <si>
    <t xml:space="preserve">192.168.241.77</t>
  </si>
  <si>
    <t xml:space="preserve">PRPOFOSPI046L</t>
  </si>
  <si>
    <t xml:space="preserve">Felipe Ospina devera</t>
  </si>
  <si>
    <t xml:space="preserve">felipe.ospina@juanvaldezcafe.com</t>
  </si>
  <si>
    <t xml:space="preserve">SEBASTIAN CARDOZO MENDOZA</t>
  </si>
  <si>
    <t xml:space="preserve">sebastian.cardozo@juanvaldezcafe.com</t>
  </si>
  <si>
    <t xml:space="preserve">PRPONGARC332L</t>
  </si>
  <si>
    <t xml:space="preserve">NATALIA GARCIA CASTILLO</t>
  </si>
  <si>
    <t xml:space="preserve">natalia.castillo@juanvaldezcafe.com</t>
  </si>
  <si>
    <t xml:space="preserve">172.25.0.40</t>
  </si>
  <si>
    <t xml:space="preserve">PRPOEROJA121L</t>
  </si>
  <si>
    <t xml:space="preserve">ERIKA ALEJANDRA ROJAS CORTES</t>
  </si>
  <si>
    <t xml:space="preserve">erika.rojas@juanvaldezcafe.com</t>
  </si>
  <si>
    <t xml:space="preserve">172.25.0.22</t>
  </si>
  <si>
    <t xml:space="preserve">laura.osorio@juanvaldezcafe.com</t>
  </si>
  <si>
    <t xml:space="preserve">HECHO</t>
  </si>
  <si>
    <t xml:space="preserve">PRPOWCARVA173L</t>
  </si>
  <si>
    <t xml:space="preserve">WILSON ANDRES CARVAJAL BARRETO</t>
  </si>
  <si>
    <t xml:space="preserve">wilson.carvajal@juanvaldezcafe.com</t>
  </si>
  <si>
    <t xml:space="preserve">172.25.0.48</t>
  </si>
  <si>
    <t xml:space="preserve">SI  </t>
  </si>
  <si>
    <t xml:space="preserve">PRPOJRUBI924L</t>
  </si>
  <si>
    <t xml:space="preserve">JOHAN ESTIVEN RUBIO MACIAS</t>
  </si>
  <si>
    <t xml:space="preserve">johan.rubio@juanvaldezcafe.com</t>
  </si>
  <si>
    <t xml:space="preserve">EVIDENCIA TOMADA</t>
  </si>
  <si>
    <t xml:space="preserve">ESTADO</t>
  </si>
  <si>
    <t xml:space="preserve">PRVDIAZ968</t>
  </si>
  <si>
    <t xml:space="preserve">VIVIANA MARCELA DIAZ CASTRO</t>
  </si>
  <si>
    <t xml:space="preserve">viviana.diaz@juanvaldezcafe.com</t>
  </si>
  <si>
    <t xml:space="preserve">192.168.1.19</t>
  </si>
  <si>
    <t xml:space="preserve">SI - CAMBIAR HOST</t>
  </si>
  <si>
    <t xml:space="preserve">PRPOLCARR891L</t>
  </si>
  <si>
    <t xml:space="preserve">LAURA VALENTINA CARREÑO TORRES</t>
  </si>
  <si>
    <t xml:space="preserve">laura.carreno@juanvaldezcafe.com</t>
  </si>
  <si>
    <t xml:space="preserve">PRPOJPARA222L</t>
  </si>
  <si>
    <t xml:space="preserve">JONATHAN CAMILO PARADA CASTRILLON</t>
  </si>
  <si>
    <t xml:space="preserve">jonathan.parada@juanvaldezcafe.com</t>
  </si>
  <si>
    <t xml:space="preserve">192.168.20.36</t>
  </si>
  <si>
    <t xml:space="preserve">PRPOJARIZ321L</t>
  </si>
  <si>
    <t xml:space="preserve">JULIO ARIZA</t>
  </si>
  <si>
    <t xml:space="preserve">julio.ariza@juanvaldezcafe.com</t>
  </si>
  <si>
    <t xml:space="preserve">192.168.2.8</t>
  </si>
  <si>
    <t xml:space="preserve">PRPOIMAHE173L</t>
  </si>
  <si>
    <t xml:space="preserve">INGRID YULIETH MAHECHA MENDEZ</t>
  </si>
  <si>
    <t xml:space="preserve">ingrid.mahecha@juanvaldezcafe.com</t>
  </si>
  <si>
    <t xml:space="preserve">LSVPREMONTAN983</t>
  </si>
  <si>
    <t xml:space="preserve">ESTEFANIA MONTANA</t>
  </si>
  <si>
    <t xml:space="preserve">estefania.montana@juanvaldezcafe.com</t>
  </si>
  <si>
    <t xml:space="preserve">192.168.20.202</t>
  </si>
  <si>
    <t xml:space="preserve">JUANITA ALEJANDRA CARVAJAL BONILLA</t>
  </si>
  <si>
    <t xml:space="preserve">juanita.carvajal@juanvaldezcafe.com</t>
  </si>
  <si>
    <t xml:space="preserve">PRPOLRUIZ137L</t>
  </si>
  <si>
    <t xml:space="preserve">LEYDY JOHANA RUIZ CAMPOS</t>
  </si>
  <si>
    <t xml:space="preserve">leydy.ruiz@juanvaldezcafe.com</t>
  </si>
  <si>
    <t xml:space="preserve">192.168.1.11</t>
  </si>
  <si>
    <t xml:space="preserve">Observacion</t>
  </si>
  <si>
    <t xml:space="preserve">PRPOOSANC130L</t>
  </si>
  <si>
    <t xml:space="preserve">OSKARLET CRISHMAR SANCHEZ ROMERO</t>
  </si>
  <si>
    <t xml:space="preserve">oskarlet.sanchez@juanvaldezcafe.com</t>
  </si>
  <si>
    <t xml:space="preserve">192.168.80.231</t>
  </si>
  <si>
    <t xml:space="preserve">PRPOBPULI953L</t>
  </si>
  <si>
    <t xml:space="preserve">PRPOOSARR179L</t>
  </si>
  <si>
    <t xml:space="preserve">OLIVER MAURICIO SARRIA DIAZ</t>
  </si>
  <si>
    <t xml:space="preserve">oliver.sarria@juanvaldezcafe.com</t>
  </si>
  <si>
    <t xml:space="preserve">PRPOLBENI143L</t>
  </si>
  <si>
    <t xml:space="preserve">LAURA ANDREA BENITEZ GOMEZ</t>
  </si>
  <si>
    <t xml:space="preserve">laura.benitez@juanvaldezcafe.com</t>
  </si>
  <si>
    <t xml:space="preserve">172.25.0.170</t>
  </si>
  <si>
    <t xml:space="preserve">PRPOKALBA911L</t>
  </si>
  <si>
    <t xml:space="preserve">KATHERINE MARCELA ALBARRACIN BORDA</t>
  </si>
  <si>
    <t xml:space="preserve">katherine.albarracin@juanvaldezcafe.com</t>
  </si>
  <si>
    <t xml:space="preserve">172.25.0.149</t>
  </si>
  <si>
    <t xml:space="preserve">HOY MIERCOLES 08, 10 AM</t>
  </si>
  <si>
    <t xml:space="preserve">PRPOTSERR709L</t>
  </si>
  <si>
    <t xml:space="preserve">TERLY SERRANO</t>
  </si>
  <si>
    <t xml:space="preserve">terly.serrano@juanvaldezcafe.com</t>
  </si>
  <si>
    <t xml:space="preserve">10.60.127.233</t>
  </si>
  <si>
    <t xml:space="preserve">PRPOLROJA039L</t>
  </si>
  <si>
    <t xml:space="preserve">LUISA FERNANDA ROJAS ROJAS</t>
  </si>
  <si>
    <t xml:space="preserve">luisa.rojas@juanvaldezcafe.com</t>
  </si>
  <si>
    <t xml:space="preserve">172.25.0.117</t>
  </si>
  <si>
    <t xml:space="preserve">192.168.241.93</t>
  </si>
  <si>
    <t xml:space="preserve">PRPOMCASA403L</t>
  </si>
  <si>
    <t xml:space="preserve">MARIA PAULA CASALLAS QUINTERO</t>
  </si>
  <si>
    <t xml:space="preserve">maria.casallas@juanvaldezcafe.com</t>
  </si>
  <si>
    <t xml:space="preserve">172.25.0.29</t>
  </si>
  <si>
    <t xml:space="preserve">JUEVEZ 09 DE ABRIL, 9 AM</t>
  </si>
  <si>
    <t xml:space="preserve">PRPOCGOME184L</t>
  </si>
  <si>
    <t xml:space="preserve">CARLOS LEONARDO GOMEZ RUIZ</t>
  </si>
  <si>
    <t xml:space="preserve">carlos.gomez@juanvaldezcafe.com</t>
  </si>
  <si>
    <t xml:space="preserve">172.20.10.6</t>
  </si>
  <si>
    <t xml:space="preserve">PRPOVSERR902L</t>
  </si>
  <si>
    <t xml:space="preserve">VALENTINA SERRANO SERRANO</t>
  </si>
  <si>
    <t xml:space="preserve">valentina.serrano@juanvaldezcafe.com</t>
  </si>
  <si>
    <t xml:space="preserve">172.25.0.46</t>
  </si>
  <si>
    <t xml:space="preserve">PRESTP0090932</t>
  </si>
  <si>
    <t xml:space="preserve">GABRIELA CARMONA</t>
  </si>
  <si>
    <t xml:space="preserve">gabriela.carmona@juanvaldezcafe.com</t>
  </si>
  <si>
    <t xml:space="preserve">192.168.240.22</t>
  </si>
  <si>
    <t xml:space="preserve">PRPOJRIVE123L</t>
  </si>
  <si>
    <t xml:space="preserve">JUAN GABRIEL RIVEROS RODRiGUEZ</t>
  </si>
  <si>
    <t xml:space="preserve">juan.riveros@juanvaldezcafe.com</t>
  </si>
  <si>
    <t xml:space="preserve">192.168.234.10</t>
  </si>
  <si>
    <t xml:space="preserve">PRPOSGONZ659L</t>
  </si>
  <si>
    <t xml:space="preserve">SERGIO DANIEL MU?OZ GONZALEZ</t>
  </si>
  <si>
    <t xml:space="preserve">sergio.munoz@juanvaldezcafe.com</t>
  </si>
  <si>
    <t xml:space="preserve">192.168.20.16</t>
  </si>
  <si>
    <t xml:space="preserve">VUELVE HASTA EL MARTES  14</t>
  </si>
  <si>
    <t xml:space="preserve">PRPOBCANT991L</t>
  </si>
  <si>
    <t xml:space="preserve">BRIGITTE CAROLINA CANTILLO</t>
  </si>
  <si>
    <t xml:space="preserve">briggite.cantillo@juanvaldezcafe.com</t>
  </si>
  <si>
    <t xml:space="preserve">192.168.1.6</t>
  </si>
  <si>
    <t xml:space="preserve">PRPOJGARC740L</t>
  </si>
  <si>
    <t xml:space="preserve">PRPOJGOME409L</t>
  </si>
  <si>
    <t xml:space="preserve">JUAN CAMILO GOMEZ COBOS</t>
  </si>
  <si>
    <t xml:space="preserve">juancamilo.gomez@juanvaldezcafe.com</t>
  </si>
  <si>
    <t xml:space="preserve">10.0.71.49</t>
  </si>
  <si>
    <t xml:space="preserve">JUEVEZ 9, 9 AM 12 PM</t>
  </si>
  <si>
    <t xml:space="preserve">PRPOBCANC826L</t>
  </si>
  <si>
    <t xml:space="preserve">BRYAN ALEJANDRO CANCHILA RODRIGUEZ</t>
  </si>
  <si>
    <t xml:space="preserve">bryan.canchila@juanvaldezcafe.com</t>
  </si>
  <si>
    <t xml:space="preserve">PRPOVGRAN038L</t>
  </si>
  <si>
    <t xml:space="preserve">VICTORIA GRANADOS SICHACA</t>
  </si>
  <si>
    <t xml:space="preserve">victoria.granados@juanvaldezcafe.com</t>
  </si>
  <si>
    <t xml:space="preserve">PRPOMCUEL328L</t>
  </si>
  <si>
    <t xml:space="preserve">PRPOBGUTI396L</t>
  </si>
  <si>
    <t xml:space="preserve">BRAYAN GUTIERREZ PENAGOS</t>
  </si>
  <si>
    <t xml:space="preserve">brayan.gutierrez@juanvaldezcafe.com</t>
  </si>
  <si>
    <t xml:space="preserve">10.119.223.2</t>
  </si>
  <si>
    <t xml:space="preserve">PRPODBERN266L</t>
  </si>
  <si>
    <t xml:space="preserve">DANNA KATHERINE BERNAL GARZON</t>
  </si>
  <si>
    <t xml:space="preserve">danna.bernal@juanvaldezcafe.com</t>
  </si>
  <si>
    <t xml:space="preserve">192.168.241.78</t>
  </si>
  <si>
    <t xml:space="preserve">PRPOVGARC827L</t>
  </si>
  <si>
    <t xml:space="preserve">VALENTINA GARCES FLOREZ</t>
  </si>
  <si>
    <t xml:space="preserve">valentina.garces@juanvaldezcafe.com</t>
  </si>
  <si>
    <t xml:space="preserve">192.168.232.85</t>
  </si>
  <si>
    <t xml:space="preserve">VIERNES 9</t>
  </si>
  <si>
    <t xml:space="preserve">PRPOYSANC267L</t>
  </si>
  <si>
    <t xml:space="preserve">YURI CATHERIN SANCHEZ ESPINOZA</t>
  </si>
  <si>
    <t xml:space="preserve">yuri.sanchez@juanvaldezcafe.com</t>
  </si>
  <si>
    <t xml:space="preserve">192.168.10.23</t>
  </si>
  <si>
    <t xml:space="preserve">PRPOMCASA419L</t>
  </si>
  <si>
    <t xml:space="preserve">MARIA PAULA CASAS VALERO</t>
  </si>
  <si>
    <t xml:space="preserve">maria.casas@juanvaldezcafe.com</t>
  </si>
  <si>
    <t xml:space="preserve">10.10.36.149</t>
  </si>
  <si>
    <t xml:space="preserve">HOY MARTES 08, 8:30 AM</t>
  </si>
  <si>
    <t xml:space="preserve">PRPOAPATI319L</t>
  </si>
  <si>
    <t xml:space="preserve">ANDRES FELIPE PATI?O FORERO</t>
  </si>
  <si>
    <t xml:space="preserve">andres.patino@juanvaldezcafe.com</t>
  </si>
  <si>
    <t xml:space="preserve">10.0.71.43</t>
  </si>
  <si>
    <t xml:space="preserve">VUELVE LUNES 13 DE ABRIL</t>
  </si>
  <si>
    <t xml:space="preserve">PRPOLBAST020L</t>
  </si>
  <si>
    <t xml:space="preserve">LUCIMAR BASTO LORA</t>
  </si>
  <si>
    <t xml:space="preserve">lucimar.basto@juanvaldezcafe.com</t>
  </si>
  <si>
    <t xml:space="preserve">PRPOJGOME677L</t>
  </si>
  <si>
    <t xml:space="preserve">JUAN OROMANSIS GOMEZ FLOREZ</t>
  </si>
  <si>
    <t xml:space="preserve">juan.florez@juanvaldezcafe.com</t>
  </si>
  <si>
    <t xml:space="preserve">192.168.0.5</t>
  </si>
  <si>
    <t xml:space="preserve">PRPOJCAST333</t>
  </si>
  <si>
    <t xml:space="preserve">JORGE DANIEL CASTILLO GOMEZ</t>
  </si>
  <si>
    <t xml:space="preserve">jorge.castillo@juanvaldezcafe.com</t>
  </si>
  <si>
    <t xml:space="preserve">PRPOMBECE578L</t>
  </si>
  <si>
    <t xml:space="preserve">MIGUEL ANDRES BECERRA ANGARITA</t>
  </si>
  <si>
    <t xml:space="preserve">miguel.becerra@juanvaldezcafe.com</t>
  </si>
  <si>
    <t xml:space="preserve">172.25.0.97</t>
  </si>
  <si>
    <t xml:space="preserve">PRPOAHERN555L</t>
  </si>
  <si>
    <t xml:space="preserve">ANGIE NATALIE HERNANDEZ MOYANO</t>
  </si>
  <si>
    <t xml:space="preserve">natalie.hernandez@juanvaldezcafe.com</t>
  </si>
  <si>
    <t xml:space="preserve">172.25.0.166</t>
  </si>
  <si>
    <t xml:space="preserve">PRPOJAREV574L</t>
  </si>
  <si>
    <t xml:space="preserve">JHOAN SEBASTIAN AREVALO SIERRA</t>
  </si>
  <si>
    <t xml:space="preserve">jhoan.arevalo@juanvaldezcafe.com</t>
  </si>
  <si>
    <t xml:space="preserve">10.54.1.31</t>
  </si>
  <si>
    <t xml:space="preserve">PRPOAMART290L</t>
  </si>
  <si>
    <t xml:space="preserve">ANDRES FELIPE MARTINEZ MOTTA</t>
  </si>
  <si>
    <t xml:space="preserve">felipe.martinez@juanvaldezcafe.com</t>
  </si>
  <si>
    <t xml:space="preserve">172.25.0.28</t>
  </si>
  <si>
    <t xml:space="preserve">PRPODCHAC486L</t>
  </si>
  <si>
    <t xml:space="preserve">PRPOYFARF357L</t>
  </si>
  <si>
    <t xml:space="preserve">YENY ANDREA FARFAN RODRIGUEZ</t>
  </si>
  <si>
    <t xml:space="preserve">yeny.farfan@juanvaldezcafe.com</t>
  </si>
  <si>
    <t xml:space="preserve">PRPODMUNO479L</t>
  </si>
  <si>
    <t xml:space="preserve">DIEGO ALEJANDRO MUÑOZ CARDONA</t>
  </si>
  <si>
    <t xml:space="preserve">diego.munoz@juanvaldezcafe.com</t>
  </si>
  <si>
    <t xml:space="preserve">10.0.88.67</t>
  </si>
  <si>
    <t xml:space="preserve">PRPOSNARA430L</t>
  </si>
  <si>
    <t xml:space="preserve">JHON EDUARDO PIRACON</t>
  </si>
  <si>
    <t xml:space="preserve">PRPOYJUAN617L</t>
  </si>
  <si>
    <t xml:space="preserve">YENNY KATERINNE JUAN DE DIOS MORENO</t>
  </si>
  <si>
    <t xml:space="preserve">yenny.juandedios@juanvaldezcafe.com</t>
  </si>
  <si>
    <t xml:space="preserve">192.168.80.98</t>
  </si>
  <si>
    <t xml:space="preserve">PRPOSFRAN922L</t>
  </si>
  <si>
    <t xml:space="preserve">SEBASTIAN FRANCO RODRIGUEZ</t>
  </si>
  <si>
    <t xml:space="preserve">sebastian.franco@juanvaldezcafe.com</t>
  </si>
  <si>
    <t xml:space="preserve">10.0.232.162</t>
  </si>
  <si>
    <t xml:space="preserve">HOY MIERCOLES 11 AM</t>
  </si>
  <si>
    <t xml:space="preserve">PRPONVELA938L</t>
  </si>
  <si>
    <t xml:space="preserve">NADIMA VELA</t>
  </si>
  <si>
    <t xml:space="preserve">nadima.vela@juanvaldezcafe.com</t>
  </si>
  <si>
    <t xml:space="preserve">192.168.2.13</t>
  </si>
  <si>
    <t xml:space="preserve">PRPORECEP1130L</t>
  </si>
  <si>
    <t xml:space="preserve">RECEPCION PROCAFECOL</t>
  </si>
  <si>
    <t xml:space="preserve">recepcionprocafecol@juanvaldezcafe.com</t>
  </si>
  <si>
    <t xml:space="preserve">172.25.2.2</t>
  </si>
  <si>
    <t xml:space="preserve">PRPODPARR996L</t>
  </si>
  <si>
    <t xml:space="preserve">DIEGO PARRA</t>
  </si>
  <si>
    <t xml:space="preserve">diego.parra@juanvaldezcafe.com</t>
  </si>
  <si>
    <t xml:space="preserve">172.25.0.51</t>
  </si>
  <si>
    <t xml:space="preserve">PRPOPORT736L</t>
  </si>
  <si>
    <t xml:space="preserve">PAOLA ANDREA ORTIZ IBARRA</t>
  </si>
  <si>
    <t xml:space="preserve">paola.ortiz@juanvaldezcafe.com</t>
  </si>
  <si>
    <t xml:space="preserve">172.25.0.38</t>
  </si>
  <si>
    <t xml:space="preserve">PRPOLRAMI321L</t>
  </si>
  <si>
    <t xml:space="preserve">LUZ ADRIANA RAMIREZ</t>
  </si>
  <si>
    <t xml:space="preserve">adriana.ramirez@juanvaldezcafe.com</t>
  </si>
  <si>
    <t xml:space="preserve">172.25.0.3</t>
  </si>
  <si>
    <t xml:space="preserve">PRPOLCRUZ971L</t>
  </si>
  <si>
    <t xml:space="preserve">LAURA ALEJANDRA CRUZ RENGIFO</t>
  </si>
  <si>
    <t xml:space="preserve">alejandra.cruz@juanvaldezcafe.com</t>
  </si>
  <si>
    <t xml:space="preserve">172.16.0.111</t>
  </si>
  <si>
    <t xml:space="preserve">PRPOJPERE691L</t>
  </si>
  <si>
    <t xml:space="preserve">JANER JOSEPH PEREZ RINCON</t>
  </si>
  <si>
    <t xml:space="preserve">janer.perez@juanvaldezcafe.com</t>
  </si>
  <si>
    <t xml:space="preserve">192.168.134.13</t>
  </si>
  <si>
    <t xml:space="preserve">PRPOJTORR525L</t>
  </si>
  <si>
    <t xml:space="preserve">JOHANNA MARTINEZ TORRES</t>
  </si>
  <si>
    <t xml:space="preserve">johanna.martinez@juanvaldezcafe.com</t>
  </si>
  <si>
    <t xml:space="preserve">192.168.1.106</t>
  </si>
  <si>
    <t xml:space="preserve">192.168.134.25</t>
  </si>
  <si>
    <t xml:space="preserve">172.25.0.34</t>
  </si>
  <si>
    <t xml:space="preserve">192.168.240.81</t>
  </si>
  <si>
    <t xml:space="preserve">PRPOATOVA677L</t>
  </si>
  <si>
    <t xml:space="preserve">ANDERSON DAVID TOVAR DURAN</t>
  </si>
  <si>
    <t xml:space="preserve">david.tovar@juanvaldezcafe.com</t>
  </si>
  <si>
    <t xml:space="preserve">172.25.0.22
</t>
  </si>
  <si>
    <t xml:space="preserve">PRPOJGUTI956L</t>
  </si>
  <si>
    <t xml:space="preserve">JUAN SEBASTIAN GUTIERREZ ZAPATA</t>
  </si>
  <si>
    <t xml:space="preserve">juan.gutierrez@juanvaldezcafe.com</t>
  </si>
  <si>
    <t xml:space="preserve">192.168.240.43</t>
  </si>
  <si>
    <t xml:space="preserve">PRPOLYATE666L</t>
  </si>
  <si>
    <t xml:space="preserve">LIZ ANDREA YATE</t>
  </si>
  <si>
    <t xml:space="preserve">liz.yate@juanvaldezcafe.com</t>
  </si>
  <si>
    <t xml:space="preserve">EYNER ALARCON</t>
  </si>
  <si>
    <t xml:space="preserve">eyner.alarcon@juanvaldezcafe.com</t>
  </si>
  <si>
    <t xml:space="preserve">EXTR</t>
  </si>
  <si>
    <t xml:space="preserve">LSVPRNLOPEZ591</t>
  </si>
  <si>
    <t xml:space="preserve">192.168.134.97</t>
  </si>
  <si>
    <t xml:space="preserve">10.0.0.85</t>
  </si>
  <si>
    <t xml:space="preserve">192.168.1.13</t>
  </si>
  <si>
    <t xml:space="preserve">10.0.212.73</t>
  </si>
  <si>
    <t xml:space="preserve">172.25.2.5</t>
  </si>
  <si>
    <t xml:space="preserve">192.168.10.15</t>
  </si>
  <si>
    <t xml:space="preserve">LSVPRIVARELA016</t>
  </si>
  <si>
    <t xml:space="preserve">PRPOCMONT610L</t>
  </si>
  <si>
    <t xml:space="preserve">CAMILA MONTENEGRO LOMBANA</t>
  </si>
  <si>
    <t xml:space="preserve">camila.montenegro@juanvaldezcafe.com</t>
  </si>
  <si>
    <t xml:space="preserve">192.168.5.113</t>
  </si>
  <si>
    <t xml:space="preserve">PRPONNEME181L</t>
  </si>
  <si>
    <t xml:space="preserve">NIBAL NEME HAKIM</t>
  </si>
  <si>
    <t xml:space="preserve">nibal.neme@juanvaldezcafe.com</t>
  </si>
  <si>
    <t xml:space="preserve">10.0.71.39</t>
  </si>
  <si>
    <t xml:space="preserve">PRPOJGOME403L</t>
  </si>
  <si>
    <t xml:space="preserve">JOSE MARTIN GOMEZ LOPEZ</t>
  </si>
  <si>
    <t xml:space="preserve">jose.gomez@juanvaldezcafe.com</t>
  </si>
  <si>
    <t xml:space="preserve">172.25.0.20</t>
  </si>
  <si>
    <t xml:space="preserve">PRPOMWILC712L</t>
  </si>
  <si>
    <t xml:space="preserve">MARIA JULIANA WILCHES RAMIREZ</t>
  </si>
  <si>
    <t xml:space="preserve">maria.wilches@juanvaldezcafe.com</t>
  </si>
  <si>
    <t xml:space="preserve">192.168.80.24</t>
  </si>
  <si>
    <t xml:space="preserve">PRPOYLOPE572L</t>
  </si>
  <si>
    <t xml:space="preserve">YEIMMI ALEJANDRA LOPEZ SANTANA</t>
  </si>
  <si>
    <t xml:space="preserve">yeimi.lopez@juanvaldezcafe.com</t>
  </si>
  <si>
    <t xml:space="preserve">10.0.234.120</t>
  </si>
  <si>
    <t xml:space="preserve">PRPOJSANT611L</t>
  </si>
  <si>
    <t xml:space="preserve">PRPOMGARC757L</t>
  </si>
  <si>
    <t xml:space="preserve">MARIANA GARCIA LONDOÑO</t>
  </si>
  <si>
    <t xml:space="preserve">mariana.garcia@juanvaldezcafe.com</t>
  </si>
  <si>
    <t xml:space="preserve">PRPODCIFU686L</t>
  </si>
  <si>
    <t xml:space="preserve">DIXON HARVEY CIFUENTES ROJAS</t>
  </si>
  <si>
    <t xml:space="preserve">dixon.cifuentes@juanvaldezcafe.com</t>
  </si>
  <si>
    <t xml:space="preserve">10.0.234.114</t>
  </si>
  <si>
    <t xml:space="preserve">PRPOWBRIC573LO</t>
  </si>
  <si>
    <t xml:space="preserve">WENDY JOHANA BRICE?O BARBOSA</t>
  </si>
  <si>
    <t xml:space="preserve">wendy.briceno@juanvaldezcafe.com</t>
  </si>
  <si>
    <t xml:space="preserve">192.168.1.41</t>
  </si>
  <si>
    <t xml:space="preserve">192.168.240.89</t>
  </si>
  <si>
    <t xml:space="preserve">PRPOWGOME439L</t>
  </si>
  <si>
    <t xml:space="preserve">WENDY KATHERINNE GOMEZ CAMACHO</t>
  </si>
  <si>
    <t xml:space="preserve">wendy.gomez@juanvaldezcafe.com</t>
  </si>
  <si>
    <t xml:space="preserve">10.0.76.46</t>
  </si>
  <si>
    <t xml:space="preserve">FREDDY ARLEY CABRA SIERRA</t>
  </si>
  <si>
    <t xml:space="preserve">freddy.cabra@juanvaldezcafe.com</t>
  </si>
  <si>
    <t xml:space="preserve">FUERA DE OFICINA</t>
  </si>
  <si>
    <t xml:space="preserve">PRPOMOROZ289L</t>
  </si>
  <si>
    <t xml:space="preserve">MARIA DEL PILAR OROZCO</t>
  </si>
  <si>
    <t xml:space="preserve">maria.orozco@juanvaldezcafe.com</t>
  </si>
  <si>
    <t xml:space="preserve">192.168.12.191</t>
  </si>
  <si>
    <t xml:space="preserve">PRPOSFRANCO922L</t>
  </si>
  <si>
    <t xml:space="preserve">PRPOMRODR971L</t>
  </si>
  <si>
    <t xml:space="preserve">MARIANA RODRIGUEZ MONCALEANO</t>
  </si>
  <si>
    <t xml:space="preserve">mariana.rodriguez@juanvaldezcafe.com</t>
  </si>
  <si>
    <t xml:space="preserve">PRPOJCARV770L</t>
  </si>
  <si>
    <t xml:space="preserve">PRPOLMADR453L</t>
  </si>
  <si>
    <t xml:space="preserve">LIDA MADRID</t>
  </si>
  <si>
    <t xml:space="preserve">lida.madrid@juanvaldezcafe.com</t>
  </si>
  <si>
    <t xml:space="preserve">172.25.0.64</t>
  </si>
  <si>
    <t xml:space="preserve">PRPOMRAMI767L</t>
  </si>
  <si>
    <t xml:space="preserve">MARIA BERNARDA RAMIREZ PRADA</t>
  </si>
  <si>
    <t xml:space="preserve">maria.ramirez@juanvaldezcafe.com</t>
  </si>
  <si>
    <t xml:space="preserve">192.168.101.16</t>
  </si>
  <si>
    <t xml:space="preserve">PRPOJBERMUD550</t>
  </si>
  <si>
    <t xml:space="preserve">JUAN MANUEL BERMUDEZ ROMERO</t>
  </si>
  <si>
    <t xml:space="preserve">juan.bermudez@juanvaldezcafe.com</t>
  </si>
  <si>
    <t xml:space="preserve">10.0.0.154</t>
  </si>
  <si>
    <t xml:space="preserve">PRPOFHERN892L</t>
  </si>
  <si>
    <t xml:space="preserve">FEISER HERNANDO GOMEZ SANABRIA</t>
  </si>
  <si>
    <t xml:space="preserve">feisser.gomez@juanvaldezcafe.com</t>
  </si>
  <si>
    <t xml:space="preserve">192.168.2.5</t>
  </si>
  <si>
    <t xml:space="preserve">PRIMER CONTACTO</t>
  </si>
  <si>
    <t xml:space="preserve">SERGIO DANIEL MUÑOZ GONZALEZ</t>
  </si>
  <si>
    <t xml:space="preserve">SEGUNDO CONTACTO</t>
  </si>
  <si>
    <t xml:space="preserve">LSVPRSSAMUDI875</t>
  </si>
  <si>
    <t xml:space="preserve">STEFANY SAMUDIO</t>
  </si>
  <si>
    <t xml:space="preserve">stefany.moreno@juanvaldezcafe.com</t>
  </si>
  <si>
    <t xml:space="preserve">192.168.241.85</t>
  </si>
  <si>
    <t xml:space="preserve">PRPONRUIZ091L</t>
  </si>
  <si>
    <t xml:space="preserve">ALEJANDRA RUIZ ROMERO</t>
  </si>
  <si>
    <t xml:space="preserve">alejandra.romero@juanvaldezcafe.com</t>
  </si>
  <si>
    <t xml:space="preserve">172.25.0.41</t>
  </si>
  <si>
    <t xml:space="preserve">PRPOLRODR144L</t>
  </si>
  <si>
    <t xml:space="preserve">LAURA CATALINA RODRIGUEZ GALVIS</t>
  </si>
  <si>
    <t xml:space="preserve">laura.rodriguez@juanvaldezcafe.com</t>
  </si>
  <si>
    <t xml:space="preserve">PRPONGARZ187L</t>
  </si>
  <si>
    <t xml:space="preserve">Natalia Xiomara Garzón Ortiz</t>
  </si>
  <si>
    <t xml:space="preserve">natalia.ortiz@juanvaldezcafe.com</t>
  </si>
  <si>
    <t xml:space="preserve">PRPOCCARV641L</t>
  </si>
  <si>
    <t xml:space="preserve">Carlos Mario Carvajal Leon</t>
  </si>
  <si>
    <t xml:space="preserve">carlos.carvajal@juanvaldezcafe.com</t>
  </si>
  <si>
    <t xml:space="preserve">PRPOJGONZ653L</t>
  </si>
  <si>
    <t xml:space="preserve">Juan Pablo Gonzalez Florez</t>
  </si>
  <si>
    <t xml:space="preserve">juanpablo.gonzalez@juanvaldezcafe.com</t>
  </si>
  <si>
    <t xml:space="preserve">192.168.241.7</t>
  </si>
  <si>
    <t xml:space="preserve">Luz Marina Daza Muete</t>
  </si>
  <si>
    <t xml:space="preserve">PRPOPROME294L</t>
  </si>
  <si>
    <t xml:space="preserve">Paula Ximena Romero Vargas</t>
  </si>
  <si>
    <t xml:space="preserve">paula.romero@juanvaldezcafe.com</t>
  </si>
  <si>
    <t xml:space="preserve">Hostname </t>
  </si>
  <si>
    <t xml:space="preserve">Columna 1</t>
  </si>
  <si>
    <t xml:space="preserve">SUBIDO</t>
  </si>
  <si>
    <t xml:space="preserve">ESCRITO</t>
  </si>
  <si>
    <t xml:space="preserve">10.0.234.36</t>
  </si>
  <si>
    <t xml:space="preserve">PRPOATRUJ054L</t>
  </si>
  <si>
    <t xml:space="preserve">ANDRES FELIPE TRUJILLO MEDINA</t>
  </si>
  <si>
    <t xml:space="preserve">andres.trujillo@juanvaldezcafe.com</t>
  </si>
  <si>
    <t xml:space="preserve">192.168.240.21</t>
  </si>
  <si>
    <t xml:space="preserve">172.25.0.8</t>
  </si>
  <si>
    <t xml:space="preserve">PRPOCELTA1</t>
  </si>
  <si>
    <t xml:space="preserve">10.0.234.21</t>
  </si>
  <si>
    <t xml:space="preserve">PRPOCPAEZ671L</t>
  </si>
  <si>
    <t xml:space="preserve">Carlos Eduardo Paez almeida</t>
  </si>
  <si>
    <t xml:space="preserve">carlos.paez@juanvaldezcafe.com</t>
  </si>
  <si>
    <t xml:space="preserve">192.168.1.18</t>
  </si>
  <si>
    <t xml:space="preserve">martes</t>
  </si>
  <si>
    <t xml:space="preserve">PRPODCONT219L</t>
  </si>
  <si>
    <t xml:space="preserve">DIANA MARCELA CONTRERAS URREA</t>
  </si>
  <si>
    <t xml:space="preserve">diana.contreras@juanvaldezcafe.com</t>
  </si>
  <si>
    <t xml:space="preserve">10.0.232.179</t>
  </si>
  <si>
    <t xml:space="preserve">PRPODGUTI651L</t>
  </si>
  <si>
    <t xml:space="preserve">DIANA CAROLINA GUTIERREZ VARGAS</t>
  </si>
  <si>
    <t xml:space="preserve">diana.gutierrez@juanvaldezcafe.com</t>
  </si>
  <si>
    <t xml:space="preserve">192.168.128.4</t>
  </si>
  <si>
    <t xml:space="preserve">192.168.101.18</t>
  </si>
  <si>
    <t xml:space="preserve">piso 3 hoy 2pm</t>
  </si>
  <si>
    <t xml:space="preserve">PRPODRIPP264L</t>
  </si>
  <si>
    <t xml:space="preserve">DIANA ALEJANDRA RIPPE BELTRAN</t>
  </si>
  <si>
    <t xml:space="preserve">diana.rippe@juanvaldezcafe.com</t>
  </si>
  <si>
    <t xml:space="preserve">172.25.0.65</t>
  </si>
  <si>
    <t xml:space="preserve">10.15.177.80</t>
  </si>
  <si>
    <t xml:space="preserve">12pm</t>
  </si>
  <si>
    <t xml:space="preserve">PRPOERUIZ402L</t>
  </si>
  <si>
    <t xml:space="preserve">EDISON GEOVANY RUIZ BELTRAN</t>
  </si>
  <si>
    <t xml:space="preserve">edison.ruiz@juanvaldezcafe.com</t>
  </si>
  <si>
    <t xml:space="preserve">192.168.80.23</t>
  </si>
  <si>
    <t xml:space="preserve">en la tarde</t>
  </si>
  <si>
    <t xml:space="preserve">ESTEFANIA SALAMANCA DAZA</t>
  </si>
  <si>
    <t xml:space="preserve">estefania.salamanca@juanvaldezcafe.com</t>
  </si>
  <si>
    <t xml:space="preserve">viernes</t>
  </si>
  <si>
    <t xml:space="preserve">PRPOGBETA097L</t>
  </si>
  <si>
    <t xml:space="preserve">GERALDINE BETANCUR ESPINOSA</t>
  </si>
  <si>
    <t xml:space="preserve">geraldine.betancur@juanvaldezcafe.com</t>
  </si>
  <si>
    <t xml:space="preserve">192.168.128.10</t>
  </si>
  <si>
    <t xml:space="preserve">10.0.232.193</t>
  </si>
  <si>
    <t xml:space="preserve">VACACIONES</t>
  </si>
  <si>
    <t xml:space="preserve">john.avila@juanvaldezcafe.com
</t>
  </si>
  <si>
    <t xml:space="preserve">192.168.1.58</t>
  </si>
  <si>
    <t xml:space="preserve">PRPOJGUTI818L</t>
  </si>
  <si>
    <t xml:space="preserve">Jessica Alexandra Gutierrez Campos</t>
  </si>
  <si>
    <t xml:space="preserve">jessica.gutierrez@juanvaldezcafe.com</t>
  </si>
  <si>
    <t xml:space="preserve">4pm</t>
  </si>
  <si>
    <t xml:space="preserve">PRPOJLAVE368L</t>
  </si>
  <si>
    <t xml:space="preserve">Jean Darley Laverde Castro</t>
  </si>
  <si>
    <t xml:space="preserve">jean.laverde@juanvaldezcafe.com</t>
  </si>
  <si>
    <t xml:space="preserve">10.0.234.2</t>
  </si>
  <si>
    <t xml:space="preserve">PRPOJORTI327L</t>
  </si>
  <si>
    <t xml:space="preserve">JUAN JOSE ORTIZ ROMAN</t>
  </si>
  <si>
    <t xml:space="preserve">juan.ortiz@juanvaldezcafe.com</t>
  </si>
  <si>
    <t xml:space="preserve">192.168.80.243</t>
  </si>
  <si>
    <t xml:space="preserve">10.0.212.91</t>
  </si>
  <si>
    <t xml:space="preserve">juan.ruiz@juanvaldezcafe.com
</t>
  </si>
  <si>
    <t xml:space="preserve">PRPOJSANT923L</t>
  </si>
  <si>
    <t xml:space="preserve">JUAN DIEGO SANTAMARIA</t>
  </si>
  <si>
    <t xml:space="preserve">juan.santamaria@juanvaldezcafe.com</t>
  </si>
  <si>
    <t xml:space="preserve">PRPOKLOPE007L</t>
  </si>
  <si>
    <t xml:space="preserve">KAREN TATIANA LOPEZ OLARTE</t>
  </si>
  <si>
    <t xml:space="preserve">karen.lopez@juanvaldezcafe.com</t>
  </si>
  <si>
    <t xml:space="preserve">10.0.1.235</t>
  </si>
  <si>
    <t xml:space="preserve">10.0.1.82</t>
  </si>
  <si>
    <t xml:space="preserve">JUEVES</t>
  </si>
  <si>
    <t xml:space="preserve">PRPOLCANO976L</t>
  </si>
  <si>
    <t xml:space="preserve">LILIANA JULIETH CAÑON GARAY</t>
  </si>
  <si>
    <t xml:space="preserve">liliana.canon@juanvaldezcafe.com</t>
  </si>
  <si>
    <t xml:space="preserve">192.168.10.21</t>
  </si>
  <si>
    <t xml:space="preserve">192.168.0.103</t>
  </si>
  <si>
    <t xml:space="preserve">PRPOLROJA837L</t>
  </si>
  <si>
    <t xml:space="preserve">LAURA JOHANNA ROJAS RAMIREZ </t>
  </si>
  <si>
    <t xml:space="preserve">laura.rojas@juanvaldezcafe.com</t>
  </si>
  <si>
    <t xml:space="preserve">10.0.234.26</t>
  </si>
  <si>
    <t xml:space="preserve">192.168.240.37</t>
  </si>
  <si>
    <t xml:space="preserve">LAURA YINETH SANTAFE CRUZ</t>
  </si>
  <si>
    <t xml:space="preserve">laura.santafe@juanvaldezcafe.com
</t>
  </si>
  <si>
    <t xml:space="preserve">192.168.101.19</t>
  </si>
  <si>
    <t xml:space="preserve">PRPOLVELA721L</t>
  </si>
  <si>
    <t xml:space="preserve">LAURA PAOLA VELANDIA</t>
  </si>
  <si>
    <t xml:space="preserve">laura.velandia@juanvaldezcafe.com</t>
  </si>
  <si>
    <t xml:space="preserve">liz.yate@juanvaldezcafe.com
</t>
  </si>
  <si>
    <t xml:space="preserve">PRPOMBUST649L</t>
  </si>
  <si>
    <t xml:space="preserve">MAR ELIANA BUSTOS CORREDOR</t>
  </si>
  <si>
    <t xml:space="preserve">mar.bustos@juanvaldezcafe.com</t>
  </si>
  <si>
    <t xml:space="preserve">192.168.240.85</t>
  </si>
  <si>
    <t xml:space="preserve">manuel.carvajal@juanvaldezcafe.com
</t>
  </si>
  <si>
    <t xml:space="preserve">10.0.3.230</t>
  </si>
  <si>
    <t xml:space="preserve">PRPOMMEJI265L</t>
  </si>
  <si>
    <t xml:space="preserve">MANUELA MEJIA DUQUE</t>
  </si>
  <si>
    <t xml:space="preserve">manuela.mejia@juanvaldezcafe.com</t>
  </si>
  <si>
    <t xml:space="preserve">PRPOMSALG822L</t>
  </si>
  <si>
    <t xml:space="preserve">MARTHA SALGADO</t>
  </si>
  <si>
    <t xml:space="preserve">martha.salgado@juanvaldezcafe.com</t>
  </si>
  <si>
    <t xml:space="preserve">oscar.yustre@juanvaldezcafe.com
</t>
  </si>
  <si>
    <t xml:space="preserve">PRPOSAMAY845L</t>
  </si>
  <si>
    <t xml:space="preserve">SEBASTIAN AMAYA SANTOS</t>
  </si>
  <si>
    <t xml:space="preserve">sebastian.amaya@juanvaldezcafe.com</t>
  </si>
  <si>
    <t xml:space="preserve">10.0.224.24</t>
  </si>
  <si>
    <t xml:space="preserve">sebastian.mejia@juanvaldezcafe.com
</t>
  </si>
  <si>
    <t xml:space="preserve">PRPOVALE507L</t>
  </si>
  <si>
    <t xml:space="preserve">PAULA MARCELA VALENCIA AGUDELO</t>
  </si>
  <si>
    <t xml:space="preserve">paula.valencia@juanvaldezcafe.com</t>
  </si>
  <si>
    <t xml:space="preserve">192.168.0.160</t>
  </si>
  <si>
    <t xml:space="preserve">VALERIA GIL HERNANDEZ</t>
  </si>
  <si>
    <t xml:space="preserve">valentina.garcia@juanvaldezcafe.com</t>
  </si>
  <si>
    <t xml:space="preserve">HOY MARTES 3 PM</t>
  </si>
  <si>
    <t xml:space="preserve">10.0.88.181</t>
  </si>
  <si>
    <t xml:space="preserve">PRPOYBALL765L</t>
  </si>
  <si>
    <t xml:space="preserve">YENNY KATERINE BALLESTEROS BERMEO</t>
  </si>
  <si>
    <t xml:space="preserve">yenny.ballesteros@juanvaldezcafe.com</t>
  </si>
  <si>
    <t xml:space="preserve">10.0.7.54</t>
  </si>
  <si>
    <t xml:space="preserve">yessenia.bravo@juanvaldezcafe.com
</t>
  </si>
  <si>
    <t xml:space="preserve">192.168.240.60</t>
  </si>
  <si>
    <t xml:space="preserve">MIERCOLES 14 7:10 AM</t>
  </si>
  <si>
    <t xml:space="preserve">PRPOICUBI648L</t>
  </si>
  <si>
    <t xml:space="preserve">192.168.134.51</t>
  </si>
  <si>
    <t xml:space="preserve">PRPOJBEJA150L</t>
  </si>
  <si>
    <t xml:space="preserve">10.10.106.2</t>
  </si>
  <si>
    <t xml:space="preserve">PRPOSGONZ750L</t>
  </si>
  <si>
    <t xml:space="preserve">192.168.240.63</t>
  </si>
  <si>
    <t xml:space="preserve">POR SUBIR</t>
  </si>
  <si>
    <t xml:space="preserve">Hola muy buenos dias, Como estas? Te escribo desde el área de Tecnología, tenemos una revisión de seguridad pendiente para tu equipo portátil, esta solicitud viene directamente desde el área de Seguridad de la información, requerimos validar los antivirus y bloqueos que están establecidos, para ello requerimos de 10 a 20 minutos de tu valioso tiempo para poder verificar y tomar las respectivas evidencias, tu me podrías confirmar tu disponibilidad por favor para poder revisar tu equipo?</t>
  </si>
  <si>
    <t xml:space="preserve">!! IMPORTANTE !! Formato tomado, debe pasar 3 meses para poder volver a tomar las evidencias al mismo Host</t>
  </si>
  <si>
    <t xml:space="preserve">MES REALIZADO</t>
  </si>
  <si>
    <t xml:space="preserve">AÑO</t>
  </si>
  <si>
    <t xml:space="preserve">TIPO</t>
  </si>
  <si>
    <t xml:space="preserve">ENERO</t>
  </si>
  <si>
    <t xml:space="preserve">OFICINA</t>
  </si>
  <si>
    <t xml:space="preserve">FEBERO</t>
  </si>
  <si>
    <t xml:space="preserve">MARZO</t>
  </si>
  <si>
    <t xml:space="preserve">ABRIL</t>
  </si>
  <si>
    <t xml:space="preserve">MAYO</t>
  </si>
  <si>
    <t xml:space="preserve">PUERTO USB</t>
  </si>
  <si>
    <t xml:space="preserve">FEBRERO</t>
  </si>
  <si>
    <t xml:space="preserve">JUNIO</t>
  </si>
  <si>
    <t xml:space="preserve">Evidencias A tomar Formatos Oficina</t>
  </si>
  <si>
    <t xml:space="preserve">Evidencias A tomar Formatos USB Oficina</t>
  </si>
  <si>
    <t xml:space="preserve">En Chrome</t>
  </si>
  <si>
    <t xml:space="preserve">En Windows</t>
  </si>
  <si>
    <t xml:space="preserve">1. Pagina Web de Facebook</t>
  </si>
  <si>
    <t xml:space="preserve">1. Panel de Control / Aplicaiciones -  CrowdStrike</t>
  </si>
  <si>
    <t xml:space="preserve">2. Pagina Web de Instagram</t>
  </si>
  <si>
    <t xml:space="preserve">2. Panel de Control / Aplicaiciones -  Trellix DLP</t>
  </si>
  <si>
    <t xml:space="preserve">3. Pagina Web de Tiktok</t>
  </si>
  <si>
    <t xml:space="preserve">3. Escritorio - Mensaje Emergente de Bloqueo de puertos USB</t>
  </si>
  <si>
    <t xml:space="preserve">4. Pagina Web de WhatsApp</t>
  </si>
  <si>
    <t xml:space="preserve">5. Pagina Web de X</t>
  </si>
  <si>
    <t xml:space="preserve">6. Pestaña de Extensiones</t>
  </si>
  <si>
    <t xml:space="preserve">En Edge</t>
  </si>
  <si>
    <t xml:space="preserve">7. Pagina Web de AnyDesk</t>
  </si>
  <si>
    <t xml:space="preserve">8. Pagina Web de TeamViwer</t>
  </si>
  <si>
    <t xml:space="preserve">9. Pestaña de Extensiones</t>
  </si>
  <si>
    <t xml:space="preserve">10. App de AnyDesk</t>
  </si>
  <si>
    <t xml:space="preserve">11. App de TeamViwer</t>
  </si>
  <si>
    <t xml:space="preserve">12. App de WhatsApp</t>
  </si>
  <si>
    <t xml:space="preserve">13. App de SAP</t>
  </si>
  <si>
    <t xml:space="preserve">14. Panel de Control / Aplicaiciones -  CrowdStrike</t>
  </si>
  <si>
    <t xml:space="preserve">15. Panel de Control / Aplicaiciones -  Trellix Agent</t>
  </si>
  <si>
    <t xml:space="preserve">16. Panel de Control / Aplicaiciones -  General</t>
  </si>
</sst>
</file>

<file path=xl/styles.xml><?xml version="1.0" encoding="utf-8"?>
<styleSheet xmlns="http://schemas.openxmlformats.org/spreadsheetml/2006/main">
  <numFmts count="3">
    <numFmt numFmtId="164" formatCode="General"/>
    <numFmt numFmtId="165" formatCode="@"/>
    <numFmt numFmtId="166" formatCode="#,##0"/>
  </numFmts>
  <fonts count="10">
    <font>
      <sz val="10"/>
      <color rgb="FF000000"/>
      <name val="Arial"/>
      <family val="0"/>
      <charset val="1"/>
    </font>
    <font>
      <sz val="10"/>
      <name val="Arial"/>
      <family val="0"/>
    </font>
    <font>
      <sz val="10"/>
      <name val="Arial"/>
      <family val="0"/>
    </font>
    <font>
      <sz val="10"/>
      <name val="Arial"/>
      <family val="0"/>
    </font>
    <font>
      <b val="true"/>
      <sz val="11"/>
      <color rgb="FFFFFFFF"/>
      <name val="Roboto"/>
      <family val="0"/>
      <charset val="1"/>
    </font>
    <font>
      <sz val="11"/>
      <color rgb="FF434343"/>
      <name val="Roboto"/>
      <family val="0"/>
      <charset val="1"/>
    </font>
    <font>
      <sz val="11"/>
      <color theme="1"/>
      <name val="Arial"/>
      <family val="0"/>
      <charset val="1"/>
    </font>
    <font>
      <sz val="12"/>
      <color rgb="FF000000"/>
      <name val="&quot;Times New Roman&quot;"/>
      <family val="0"/>
      <charset val="1"/>
    </font>
    <font>
      <sz val="11"/>
      <color rgb="FFFFFFFF"/>
      <name val="Roboto"/>
      <family val="0"/>
      <charset val="1"/>
    </font>
    <font>
      <sz val="11"/>
      <color theme="1"/>
      <name val="Roboto"/>
      <family val="0"/>
      <charset val="1"/>
    </font>
  </fonts>
  <fills count="8">
    <fill>
      <patternFill patternType="none"/>
    </fill>
    <fill>
      <patternFill patternType="gray125"/>
    </fill>
    <fill>
      <patternFill patternType="solid">
        <fgColor rgb="FF356854"/>
        <bgColor rgb="FF284E3F"/>
      </patternFill>
    </fill>
    <fill>
      <patternFill patternType="solid">
        <fgColor rgb="FF00FF00"/>
        <bgColor rgb="FF33CCCC"/>
      </patternFill>
    </fill>
    <fill>
      <patternFill patternType="solid">
        <fgColor rgb="FFFFFF00"/>
        <bgColor rgb="FFFFFF00"/>
      </patternFill>
    </fill>
    <fill>
      <patternFill patternType="solid">
        <fgColor rgb="FFFF9900"/>
        <bgColor rgb="FFFFCC00"/>
      </patternFill>
    </fill>
    <fill>
      <patternFill patternType="solid">
        <fgColor rgb="FFFF0000"/>
        <bgColor rgb="FF993300"/>
      </patternFill>
    </fill>
    <fill>
      <patternFill patternType="solid">
        <fgColor rgb="FF999999"/>
        <bgColor rgb="FF808080"/>
      </patternFill>
    </fill>
  </fills>
  <borders count="9">
    <border diagonalUp="false" diagonalDown="false">
      <left/>
      <right/>
      <top/>
      <bottom/>
      <diagonal/>
    </border>
    <border diagonalUp="false" diagonalDown="false">
      <left style="thin">
        <color rgb="FF284E3F"/>
      </left>
      <right style="thin">
        <color rgb="FF356854"/>
      </right>
      <top style="thin">
        <color rgb="FF284E3F"/>
      </top>
      <bottom/>
      <diagonal/>
    </border>
    <border diagonalUp="false" diagonalDown="false">
      <left style="thin">
        <color rgb="FF356854"/>
      </left>
      <right style="thin">
        <color rgb="FF356854"/>
      </right>
      <top style="thin">
        <color rgb="FF284E3F"/>
      </top>
      <bottom/>
      <diagonal/>
    </border>
    <border diagonalUp="false" diagonalDown="false">
      <left style="thin">
        <color rgb="FF284E3F"/>
      </left>
      <right style="thin">
        <color rgb="FFF6F8F9"/>
      </right>
      <top style="thin">
        <color rgb="FFF6F8F9"/>
      </top>
      <bottom style="thin">
        <color rgb="FFF6F8F9"/>
      </bottom>
      <diagonal/>
    </border>
    <border diagonalUp="false" diagonalDown="false">
      <left style="thin">
        <color rgb="FFF6F8F9"/>
      </left>
      <right style="thin">
        <color rgb="FFF6F8F9"/>
      </right>
      <top style="thin">
        <color rgb="FFF6F8F9"/>
      </top>
      <bottom style="thin">
        <color rgb="FFF6F8F9"/>
      </bottom>
      <diagonal/>
    </border>
    <border diagonalUp="false" diagonalDown="false">
      <left style="thin">
        <color rgb="FF284E3F"/>
      </left>
      <right style="thin">
        <color rgb="FFFFFFFF"/>
      </right>
      <top style="thin">
        <color rgb="FFFFFFFF"/>
      </top>
      <bottom style="thin">
        <color rgb="FFFFFFFF"/>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right style="thin"/>
      <top style="thin"/>
      <bottom style="thin"/>
      <diagonal/>
    </border>
    <border diagonalUp="false" diagonalDown="false">
      <left style="thin">
        <color rgb="FF356854"/>
      </left>
      <right style="thin">
        <color rgb="FF284E3F"/>
      </right>
      <top style="thin">
        <color rgb="FF284E3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4" fillId="2" borderId="2" xfId="0" applyFont="true" applyBorder="true" applyAlignment="true" applyProtection="true">
      <alignment horizontal="left" vertical="center" textRotation="0" wrapText="true" indent="0" shrinkToFit="false"/>
      <protection locked="true" hidden="false"/>
    </xf>
    <xf numFmtId="164" fontId="4" fillId="2" borderId="2" xfId="0" applyFont="true" applyBorder="true" applyAlignment="true" applyProtection="true">
      <alignment horizontal="center" vertical="center" textRotation="0" wrapText="true" indent="0" shrinkToFit="false"/>
      <protection locked="true" hidden="false"/>
    </xf>
    <xf numFmtId="164" fontId="5" fillId="3" borderId="3" xfId="0" applyFont="true" applyBorder="true" applyAlignment="true" applyProtection="true">
      <alignment horizontal="general" vertical="center" textRotation="0" wrapText="false" indent="0" shrinkToFit="false"/>
      <protection locked="true" hidden="false"/>
    </xf>
    <xf numFmtId="164" fontId="5" fillId="3" borderId="4" xfId="0" applyFont="true" applyBorder="true" applyAlignment="true" applyProtection="true">
      <alignment horizontal="general" vertical="center" textRotation="0" wrapText="false" indent="0" shrinkToFit="false"/>
      <protection locked="true" hidden="false"/>
    </xf>
    <xf numFmtId="164" fontId="6" fillId="3" borderId="0" xfId="0" applyFont="true" applyBorder="false" applyAlignment="true" applyProtection="true">
      <alignment horizontal="general" vertical="center" textRotation="0" wrapText="false" indent="0" shrinkToFit="false"/>
      <protection locked="true" hidden="false"/>
    </xf>
    <xf numFmtId="164" fontId="5" fillId="3" borderId="5" xfId="0" applyFont="true" applyBorder="true" applyAlignment="true" applyProtection="true">
      <alignment horizontal="general" vertical="center" textRotation="0" wrapText="false" indent="0" shrinkToFit="false"/>
      <protection locked="true" hidden="false"/>
    </xf>
    <xf numFmtId="164" fontId="5" fillId="3" borderId="6" xfId="0" applyFont="true" applyBorder="true" applyAlignment="true" applyProtection="true">
      <alignment horizontal="general" vertical="center" textRotation="0" wrapText="false" indent="0" shrinkToFit="false"/>
      <protection locked="true" hidden="false"/>
    </xf>
    <xf numFmtId="164" fontId="6" fillId="4"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6" fillId="4" borderId="0" xfId="0" applyFont="true" applyBorder="false" applyAlignment="true" applyProtection="true">
      <alignment horizontal="general" vertical="center"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6" fontId="6" fillId="4" borderId="0" xfId="0" applyFont="true" applyBorder="false" applyAlignment="true" applyProtection="true">
      <alignment horizontal="general" vertical="center" textRotation="0" wrapText="false" indent="0" shrinkToFit="false"/>
      <protection locked="true" hidden="false"/>
    </xf>
    <xf numFmtId="164" fontId="7" fillId="0" borderId="7" xfId="0" applyFont="true" applyBorder="true" applyAlignment="true" applyProtection="true">
      <alignment horizontal="center" vertical="center" textRotation="0" wrapText="false" indent="0" shrinkToFit="false"/>
      <protection locked="true" hidden="false"/>
    </xf>
    <xf numFmtId="164" fontId="6" fillId="0" borderId="7" xfId="0" applyFont="true" applyBorder="true" applyAlignment="true" applyProtection="true">
      <alignment horizontal="center" vertical="center" textRotation="0" wrapText="false" indent="0" shrinkToFit="false"/>
      <protection locked="true" hidden="false"/>
    </xf>
    <xf numFmtId="166" fontId="6" fillId="0" borderId="7" xfId="0" applyFont="true" applyBorder="true" applyAlignment="true" applyProtection="true">
      <alignment horizontal="center" vertical="center" textRotation="0" wrapText="false" indent="0" shrinkToFit="false"/>
      <protection locked="true" hidden="false"/>
    </xf>
    <xf numFmtId="164" fontId="7" fillId="3" borderId="7" xfId="0" applyFont="true" applyBorder="true" applyAlignment="true" applyProtection="true">
      <alignment horizontal="center" vertical="center" textRotation="0" wrapText="false" indent="0" shrinkToFit="false"/>
      <protection locked="true" hidden="false"/>
    </xf>
    <xf numFmtId="164" fontId="6" fillId="3" borderId="7" xfId="0" applyFont="true" applyBorder="true" applyAlignment="true" applyProtection="true">
      <alignment horizontal="center" vertical="center" textRotation="0" wrapText="false" indent="0" shrinkToFit="false"/>
      <protection locked="true" hidden="false"/>
    </xf>
    <xf numFmtId="166" fontId="6" fillId="3" borderId="7" xfId="0" applyFont="true" applyBorder="true" applyAlignment="true" applyProtection="true">
      <alignment horizontal="center" vertical="center" textRotation="0" wrapText="false" indent="0" shrinkToFit="false"/>
      <protection locked="true" hidden="false"/>
    </xf>
    <xf numFmtId="164" fontId="8" fillId="2" borderId="1" xfId="0" applyFont="true" applyBorder="true" applyAlignment="true" applyProtection="true">
      <alignment horizontal="left" vertical="center" textRotation="0" wrapText="false" indent="0" shrinkToFit="false"/>
      <protection locked="true" hidden="false"/>
    </xf>
    <xf numFmtId="164" fontId="8" fillId="2" borderId="2" xfId="0" applyFont="true" applyBorder="true" applyAlignment="true" applyProtection="true">
      <alignment horizontal="left" vertical="center" textRotation="0" wrapText="false" indent="0" shrinkToFit="false"/>
      <protection locked="true" hidden="false"/>
    </xf>
    <xf numFmtId="164" fontId="8" fillId="2" borderId="8" xfId="0" applyFont="true" applyBorder="true" applyAlignment="true" applyProtection="true">
      <alignment horizontal="left" vertical="center" textRotation="0" wrapText="false" indent="0" shrinkToFit="false"/>
      <protection locked="true" hidden="false"/>
    </xf>
    <xf numFmtId="164" fontId="6" fillId="0" borderId="7" xfId="0" applyFont="true" applyBorder="true" applyAlignment="true" applyProtection="true">
      <alignment horizontal="general" vertical="center" textRotation="0" wrapText="false" indent="0" shrinkToFit="false"/>
      <protection locked="true" hidden="false"/>
    </xf>
    <xf numFmtId="166" fontId="6" fillId="0" borderId="7" xfId="0" applyFont="true" applyBorder="true" applyAlignment="true" applyProtection="true">
      <alignment horizontal="general" vertical="center" textRotation="0" wrapText="false" indent="0" shrinkToFit="false"/>
      <protection locked="true" hidden="false"/>
    </xf>
    <xf numFmtId="164" fontId="7" fillId="3" borderId="7" xfId="0" applyFont="true" applyBorder="true" applyAlignment="true" applyProtection="true">
      <alignment horizontal="general" vertical="center" textRotation="0" wrapText="false" indent="0" shrinkToFit="false"/>
      <protection locked="true" hidden="false"/>
    </xf>
    <xf numFmtId="164" fontId="6" fillId="3" borderId="7" xfId="0" applyFont="true" applyBorder="true" applyAlignment="true" applyProtection="true">
      <alignment horizontal="general" vertical="center" textRotation="0" wrapText="false" indent="0" shrinkToFit="false"/>
      <protection locked="true" hidden="false"/>
    </xf>
    <xf numFmtId="166" fontId="6" fillId="3" borderId="7" xfId="0" applyFont="true" applyBorder="true" applyAlignment="true" applyProtection="true">
      <alignment horizontal="general"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6" fontId="6" fillId="3" borderId="0" xfId="0" applyFont="true" applyBorder="false" applyAlignment="true" applyProtection="true">
      <alignment horizontal="general" vertical="center" textRotation="0" wrapText="false" indent="0" shrinkToFit="false"/>
      <protection locked="true" hidden="false"/>
    </xf>
    <xf numFmtId="164" fontId="6" fillId="3" borderId="0" xfId="0" applyFont="true" applyBorder="false" applyAlignment="true" applyProtection="true">
      <alignment horizontal="center" vertical="center" textRotation="0" wrapText="false" indent="0" shrinkToFit="false"/>
      <protection locked="true" hidden="false"/>
    </xf>
    <xf numFmtId="166" fontId="6" fillId="3" borderId="0" xfId="0" applyFont="true" applyBorder="false" applyAlignment="true" applyProtection="true">
      <alignment horizontal="center" vertical="center" textRotation="0" wrapText="false" indent="0" shrinkToFit="false"/>
      <protection locked="true" hidden="false"/>
    </xf>
    <xf numFmtId="166" fontId="6" fillId="3" borderId="0" xfId="0" applyFont="true" applyBorder="false" applyAlignment="true" applyProtection="true">
      <alignment horizontal="left" vertical="center" textRotation="0" wrapText="false" indent="0" shrinkToFit="false"/>
      <protection locked="true" hidden="false"/>
    </xf>
    <xf numFmtId="164" fontId="4" fillId="2" borderId="0" xfId="0" applyFont="true" applyBorder="false" applyAlignment="true" applyProtection="true">
      <alignment horizontal="center" vertical="center" textRotation="0" wrapText="true" indent="0" shrinkToFit="false"/>
      <protection locked="true" hidden="false"/>
    </xf>
    <xf numFmtId="164" fontId="6" fillId="4" borderId="0" xfId="0" applyFont="true" applyBorder="fals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4" fontId="6" fillId="5" borderId="7" xfId="0" applyFont="true" applyBorder="true" applyAlignment="true" applyProtection="true">
      <alignment horizontal="center" vertical="center" textRotation="0" wrapText="false" indent="0" shrinkToFit="false"/>
      <protection locked="true" hidden="false"/>
    </xf>
    <xf numFmtId="164" fontId="6" fillId="6" borderId="7" xfId="0" applyFont="true" applyBorder="true" applyAlignment="true" applyProtection="true">
      <alignment horizontal="center" vertical="center" textRotation="0" wrapText="false" indent="0" shrinkToFit="false"/>
      <protection locked="true" hidden="false"/>
    </xf>
    <xf numFmtId="164" fontId="6" fillId="6" borderId="0" xfId="0" applyFont="true" applyBorder="fals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7" borderId="7" xfId="0" applyFont="true" applyBorder="true" applyAlignment="true" applyProtection="true">
      <alignment horizontal="center" vertical="bottom" textRotation="0" wrapText="false" indent="0" shrinkToFit="false"/>
      <protection locked="true" hidden="false"/>
    </xf>
    <xf numFmtId="164" fontId="6" fillId="4" borderId="7" xfId="0" applyFont="true" applyBorder="true" applyAlignment="true" applyProtection="true">
      <alignment horizontal="general" vertical="bottom" textRotation="0" wrapText="false" indent="0" shrinkToFit="false"/>
      <protection locked="true" hidden="false"/>
    </xf>
    <xf numFmtId="164" fontId="6" fillId="0" borderId="7"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00FF00"/>
          <bgColor rgb="FF000000"/>
        </patternFill>
      </fill>
    </dxf>
    <dxf>
      <fill>
        <patternFill patternType="solid">
          <fgColor rgb="FF356854"/>
          <bgColor rgb="FF000000"/>
        </patternFill>
      </fill>
    </dxf>
    <dxf>
      <fill>
        <patternFill patternType="solid">
          <fgColor rgb="FFFFFF00"/>
          <bgColor rgb="FF000000"/>
        </patternFill>
      </fill>
    </dxf>
    <dxf>
      <fill>
        <patternFill patternType="solid">
          <fgColor rgb="FF000000"/>
          <bgColor rgb="FF000000"/>
        </patternFill>
      </fill>
    </dxf>
    <dxf>
      <fill>
        <patternFill patternType="solid">
          <fgColor rgb="FF434343"/>
          <bgColor rgb="FF000000"/>
        </patternFill>
      </fill>
    </dxf>
    <dxf>
      <fill>
        <patternFill patternType="solid">
          <fgColor rgb="FFFFFFFF"/>
          <bgColor rgb="FF000000"/>
        </patternFill>
      </fill>
    </dxf>
    <dxf>
      <fill>
        <patternFill patternType="solid">
          <bgColor rgb="FF000000"/>
        </patternFill>
      </fill>
    </dxf>
    <dxf>
      <fill>
        <patternFill patternType="solid">
          <fgColor rgb="FFFF0000"/>
          <bgColor rgb="FF000000"/>
        </patternFill>
      </fill>
    </dxf>
    <dxf>
      <fill>
        <patternFill patternType="solid">
          <fgColor rgb="FFFF99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8F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356854"/>
      <rgbColor rgb="FF999999"/>
      <rgbColor rgb="FF003366"/>
      <rgbColor rgb="FF339966"/>
      <rgbColor rgb="FF003300"/>
      <rgbColor rgb="FF284E3F"/>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ables/table1.xml><?xml version="1.0" encoding="utf-8"?>
<table xmlns="http://schemas.openxmlformats.org/spreadsheetml/2006/main" id="1" name="Oficina" displayName="Oficina" ref="A1:G50" headerRowCount="1" totalsRowCount="0" totalsRowShown="0">
  <autoFilter ref="A1:G50">
    <filterColumn colId="4">
      <filters>
        <filter val="SI"/>
      </filters>
    </filterColumn>
    <filterColumn colId="6">
      <filters>
        <filter val="HECHO"/>
      </filters>
    </filterColumn>
  </autoFilter>
  <tableColumns count="7">
    <tableColumn id="1" name="HOSTNAME"/>
    <tableColumn id="2" name="Nombre"/>
    <tableColumn id="3" name="Correo"/>
    <tableColumn id="4" name="IP"/>
    <tableColumn id="5" name="ADM"/>
    <tableColumn id="6" name="Formato"/>
    <tableColumn id="7" name="Estado "/>
  </tableColumns>
</table>
</file>

<file path=xl/tables/table2.xml><?xml version="1.0" encoding="utf-8"?>
<table xmlns="http://schemas.openxmlformats.org/spreadsheetml/2006/main" id="2" name="Oficina." displayName="Oficina." ref="A1:G15"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3.xml><?xml version="1.0" encoding="utf-8"?>
<table xmlns="http://schemas.openxmlformats.org/spreadsheetml/2006/main" id="3" name="Oficina._2" displayName="Oficina._2" ref="A1:F15" headerRowCount="1" totalsRowCount="0" totalsRowShown="0">
  <tableColumns count="6">
    <tableColumn id="1" name="HOSTNAME"/>
    <tableColumn id="2" name="Nombre"/>
    <tableColumn id="3" name="Correo"/>
    <tableColumn id="4" name="IP"/>
    <tableColumn id="5" name="ADM"/>
    <tableColumn id="6" name="Formato"/>
  </tableColumns>
</table>
</file>

<file path=xl/tables/table4.xml><?xml version="1.0" encoding="utf-8"?>
<table xmlns="http://schemas.openxmlformats.org/spreadsheetml/2006/main" id="4" name="Oficina._3" displayName="Oficina._3" ref="A1:G55" headerRowCount="1" totalsRowCount="0" totalsRowShown="0">
  <autoFilter ref="A1:G55">
    <filterColumn colId="6">
      <filters>
        <filter val="EVIDENCIA TOMADA"/>
        <filter val="REALIZADO"/>
      </filters>
    </filterColumn>
    <filterColumn colId="2">
      <filters>
        <filter val="yenny.juandedios@juanvaldezcafe.com"/>
        <filter val="valentina.garces@juanvaldezcafe.com"/>
        <filter val="carlos.cruz@juanvaldezcafe.com"/>
        <filter val="valentina.serrano@juanvaldezcafe.com"/>
        <filter val="lucimar.basto@juanvaldezcafe.com"/>
        <filter val="maria.casallas@juanvaldezcafe.com"/>
        <filter val="paola.ortiz@juanvaldezcafe.com"/>
        <filter val="natalie.hernandez@juanvaldezcafe.com"/>
        <filter val="diego.munoz@juanvaldezcafe.com"/>
        <filter val="felipe.martinez@juanvaldezcafe.com"/>
        <filter val="juan.florez@juanvaldezcafe.com"/>
        <filter val="miguel.becerra@juanvaldezcafe.com"/>
        <filter val="daniela.novoa@juanvaldezcafe.com"/>
        <filter val="victoria.granados@juanvaldezcafe.com"/>
        <filter val="sergio.munoz@juanvaldezcafe.com"/>
        <filter val="diego.parra@juanvaldezcafe.com"/>
        <filter val="jessica.ponce@juanvaldezcafe.com"/>
        <filter val="daniel.dominguez@juanvaldezcafe.com"/>
        <filter val="oliver.sarria@juanvaldezcafe.com"/>
        <filter val="luisa.rojas@juanvaldezcafe.com"/>
        <filter val="danna.bernal@juanvaldezcafe.com"/>
        <filter val="jhoan.arevalo@juanvaldezcafe.com"/>
        <filter val="alejandra.cruz@juanvaldezcafe.com"/>
        <filter val="oskarlet.sanchez@juanvaldezcafe.com"/>
        <filter val="Sin Info"/>
        <filter val="jorge.castillo@juanvaldezcafe.com"/>
        <filter val="johanna.martinez@juanvaldezcafe.com"/>
        <filter val="gabriela.carmona@juanvaldezcafe.com"/>
        <filter val="terly.serrano@juanvaldezcafe.com"/>
        <filter val="juancamilo.gomez@juanvaldezcafe.com"/>
        <filter val="sebastian.franco@juanvaldezcafe.com"/>
        <filter val="yuri.sanchez@juanvaldezcafe.com"/>
        <filter val="briggite.cantillo@juanvaldezcafe.com"/>
        <filter val="juan.riveros@juanvaldezcafe.com"/>
        <filter val="andres.patino@juanvaldezcafe.com"/>
        <filter val="nadima.vela@juanvaldezcafe.com"/>
        <filter val="carlos.gomez@juanvaldezcafe.com"/>
        <filter val="adriana.ramirez@juanvaldezcafe.com"/>
        <filter val="jhon.piracon@juanvaldezcafe.com"/>
        <filter val="recepcionprocafecol@juanvaldezcafe.com"/>
        <filter val="janer.perez@juanvaldezcafe.com"/>
        <filter val="maria.casas@juanvaldezcafe.com"/>
        <filter val="brayan.gutierrez@juanvaldezcafe.com"/>
        <filter val="laura.benitez@juanvaldezcafe.com"/>
        <filter val="katherine.albarracin@juanvaldezcafe.com"/>
        <filter val="yeny.farfan@juanvaldezcafe.com"/>
        <filter val="nohora.suarez@juanvaldezcafe.com"/>
        <filter val="bryan.canchila@juanvaldezcafe.com"/>
      </filters>
    </filterColumn>
  </autoFilter>
  <tableColumns count="7">
    <tableColumn id="1" name="HOSTNAME"/>
    <tableColumn id="2" name="Nombre"/>
    <tableColumn id="3" name="Correo"/>
    <tableColumn id="4" name="IP"/>
    <tableColumn id="5" name="ADM"/>
    <tableColumn id="6" name="Formato"/>
    <tableColumn id="7" name="Observacion"/>
  </tableColumns>
</table>
</file>

<file path=xl/tables/table5.xml><?xml version="1.0" encoding="utf-8"?>
<table xmlns="http://schemas.openxmlformats.org/spreadsheetml/2006/main" id="5" name="Oficina._4" displayName="Oficina._4" ref="A1:G15"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6.xml><?xml version="1.0" encoding="utf-8"?>
<table xmlns="http://schemas.openxmlformats.org/spreadsheetml/2006/main" id="6" name="Oficina._5" displayName="Oficina._5" ref="A1:G55"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7.xml><?xml version="1.0" encoding="utf-8"?>
<table xmlns="http://schemas.openxmlformats.org/spreadsheetml/2006/main" id="7" name="Oficina._6" displayName="Oficina._6" ref="A1:G15"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8.xml><?xml version="1.0" encoding="utf-8"?>
<table xmlns="http://schemas.openxmlformats.org/spreadsheetml/2006/main" id="8" name="OFICINA_FORMATOS" displayName="OFICINA_FORMATOS" ref="A1:G22"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9.xml><?xml version="1.0" encoding="utf-8"?>
<table xmlns="http://schemas.openxmlformats.org/spreadsheetml/2006/main" id="9" name="OFICINA_FORMATOS_2" displayName="OFICINA_FORMATOS_2" ref="A1:G15"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10.xml><?xml version="1.0" encoding="utf-8"?>
<table xmlns="http://schemas.openxmlformats.org/spreadsheetml/2006/main" id="10" name="Tabla" displayName="Tabla" ref="A1:G51" headerRowCount="1" totalsRowCount="0" totalsRowShown="0">
  <tableColumns count="7">
    <tableColumn id="1" name="HOSTNAME"/>
    <tableColumn id="2" name="Nombre"/>
    <tableColumn id="3" name="Correo"/>
    <tableColumn id="4" name="IP"/>
    <tableColumn id="5" name="ADM"/>
    <tableColumn id="6" name="Formato"/>
    <tableColumn id="7" name="Estado "/>
  </tableColumns>
</table>
</file>

<file path=xl/tables/table11.xml><?xml version="1.0" encoding="utf-8"?>
<table xmlns="http://schemas.openxmlformats.org/spreadsheetml/2006/main" id="11" name="Tabla_1" displayName="Tabla_1" ref="A1:H50" headerRowCount="1" totalsRowCount="0" totalsRowShown="0">
  <autoFilter ref="A1:H50">
    <filterColumn colId="6">
      <filters>
        <filter val="SUBIDO"/>
      </filters>
    </filterColumn>
  </autoFilter>
  <tableColumns count="8">
    <tableColumn id="1" name="Hostname "/>
    <tableColumn id="2" name="Nombre"/>
    <tableColumn id="3" name="Correo"/>
    <tableColumn id="4" name="IP"/>
    <tableColumn id="5" name="ADM"/>
    <tableColumn id="6" name="Formato"/>
    <tableColumn id="7" name="Estado "/>
    <tableColumn id="8" name="Columna 1"/>
  </tableColumns>
</table>
</file>

<file path=xl/tables/table12.xml><?xml version="1.0" encoding="utf-8"?>
<table xmlns="http://schemas.openxmlformats.org/spreadsheetml/2006/main" id="12" name="Tabla_2" displayName="Tabla_2" ref="A1:F47" headerRowCount="1" totalsRowCount="0" totalsRowShown="0">
  <tableColumns count="6">
    <tableColumn id="1" name="HOSTNAE"/>
    <tableColumn id="2" name="NOMBRE COMPLETO"/>
    <tableColumn id="3" name="CORREO"/>
    <tableColumn id="4" name="IP"/>
    <tableColumn id="5" name="ADM"/>
    <tableColumn id="6" name="FORMATO"/>
  </tableColumns>
</table>
</file>

<file path=xl/tables/table13.xml><?xml version="1.0" encoding="utf-8"?>
<table xmlns="http://schemas.openxmlformats.org/spreadsheetml/2006/main" id="13" name="Tabla_3" displayName="Tabla_3" ref="A1:F15" headerRowCount="1" totalsRowCount="0" totalsRowShown="0">
  <tableColumns count="6">
    <tableColumn id="1" name="HOSTNAE"/>
    <tableColumn id="2" name="NOMBRE COMPLETO"/>
    <tableColumn id="3" name="CORREO"/>
    <tableColumn id="4" name="IP"/>
    <tableColumn id="5" name="ADM"/>
    <tableColumn id="6" name="FORMATO"/>
  </tableColumns>
</table>
</file>

<file path=xl/tables/table14.xml><?xml version="1.0" encoding="utf-8"?>
<table xmlns="http://schemas.openxmlformats.org/spreadsheetml/2006/main" id="14" name="Tabla_4" displayName="Tabla_4" ref="A1:D130" headerRowCount="1" totalsRowCount="0" totalsRowShown="0">
  <tableColumns count="4">
    <tableColumn id="1" name="HOSTNAME"/>
    <tableColumn id="2" name="MES REALIZADO"/>
    <tableColumn id="3" name="AÑO"/>
    <tableColumn id="4" name="TIPO"/>
  </tableColumns>
</table>
</file>

<file path=xl/tables/table15.xml><?xml version="1.0" encoding="utf-8"?>
<table xmlns="http://schemas.openxmlformats.org/spreadsheetml/2006/main" id="15" name="Tabla_5" displayName="Tabla_5" ref="A1:F47" headerRowCount="1" totalsRowCount="0" totalsRowShown="0">
  <tableColumns count="6">
    <tableColumn id="1" name="HOSTNAE"/>
    <tableColumn id="2" name="NOMBRE COMPLETO"/>
    <tableColumn id="3" name="CORREO"/>
    <tableColumn id="4" name="IP"/>
    <tableColumn id="5" name="ADM"/>
    <tableColumn id="6" name="FORMATO"/>
  </tableColumns>
</table>
</file>

<file path=xl/tables/table16.xml><?xml version="1.0" encoding="utf-8"?>
<table xmlns="http://schemas.openxmlformats.org/spreadsheetml/2006/main" id="16" name="Tabla_6" displayName="Tabla_6" ref="A1:G40" headerRowCount="1" totalsRowCount="0" totalsRowShown="0">
  <tableColumns count="7">
    <tableColumn id="1" name="HOSTNAE"/>
    <tableColumn id="2" name="NOMBRE COMPLETO"/>
    <tableColumn id="3" name="CORREO"/>
    <tableColumn id="4" name="IP"/>
    <tableColumn id="5" name="ADM"/>
    <tableColumn id="6" name="FORMATO"/>
    <tableColumn id="7" name="ESTADO"/>
  </tableColumns>
</table>
</file>

<file path=xl/tables/table17.xml><?xml version="1.0" encoding="utf-8"?>
<table xmlns="http://schemas.openxmlformats.org/spreadsheetml/2006/main" id="17" name="Tabla_7" displayName="Tabla_7" ref="A1:D32" headerRowCount="1" totalsRowCount="0" totalsRowShown="0">
  <tableColumns count="4">
    <tableColumn id="1" name="HOSTNAME"/>
    <tableColumn id="2" name="MES REALIZADO"/>
    <tableColumn id="3" name="AÑO"/>
    <tableColumn id="4" name="TIPO"/>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8.xml"/>
</Relationships>
</file>

<file path=xl/worksheets/_rels/sheet2.xml.rels><?xml version="1.0" encoding="UTF-8"?>
<Relationships xmlns="http://schemas.openxmlformats.org/package/2006/relationships"><Relationship Id="rId1" Type="http://schemas.openxmlformats.org/officeDocument/2006/relationships/table" Target="../tables/table10.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13.xml"/>
</Relationships>
</file>

<file path=xl/worksheets/_rels/sheet5.xml.rels><?xml version="1.0" encoding="UTF-8"?>
<Relationships xmlns="http://schemas.openxmlformats.org/package/2006/relationships"><Relationship Id="rId1" Type="http://schemas.openxmlformats.org/officeDocument/2006/relationships/table" Target="../tables/table12.xml"/>
</Relationships>
</file>

<file path=xl/worksheets/_rels/sheet6.xml.rels><?xml version="1.0" encoding="UTF-8"?>
<Relationships xmlns="http://schemas.openxmlformats.org/package/2006/relationships"><Relationship Id="rId1" Type="http://schemas.openxmlformats.org/officeDocument/2006/relationships/table" Target="../tables/table15.xml"/>
</Relationships>
</file>

<file path=xl/worksheets/_rels/sheet7.xml.rels><?xml version="1.0" encoding="UTF-8"?>
<Relationships xmlns="http://schemas.openxmlformats.org/package/2006/relationships"><Relationship Id="rId1" Type="http://schemas.openxmlformats.org/officeDocument/2006/relationships/table" Target="../tables/table16.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table" Target="../tables/table6.xml"/>
</Relationships>
</file>

<file path=xl/worksheets/_rels/sheet11.xml.rels><?xml version="1.0" encoding="UTF-8"?>
<Relationships xmlns="http://schemas.openxmlformats.org/package/2006/relationships"><Relationship Id="rId1" Type="http://schemas.openxmlformats.org/officeDocument/2006/relationships/table" Target="../tables/table5.xml"/>
</Relationships>
</file>

<file path=xl/worksheets/_rels/sheet12.xml.rels><?xml version="1.0" encoding="UTF-8"?>
<Relationships xmlns="http://schemas.openxmlformats.org/package/2006/relationships"><Relationship Id="rId1" Type="http://schemas.openxmlformats.org/officeDocument/2006/relationships/table" Target="../tables/table11.xml"/>
</Relationships>
</file>

<file path=xl/worksheets/_rels/sheet13.xml.rels><?xml version="1.0" encoding="UTF-8"?>
<Relationships xmlns="http://schemas.openxmlformats.org/package/2006/relationships"><Relationship Id="rId1" Type="http://schemas.openxmlformats.org/officeDocument/2006/relationships/table" Target="../tables/table7.xml"/>
</Relationships>
</file>

<file path=xl/worksheets/_rels/sheet14.xml.rels><?xml version="1.0" encoding="UTF-8"?>
<Relationships xmlns="http://schemas.openxmlformats.org/package/2006/relationships"><Relationship Id="rId1"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table" Target="../tables/table14.xml"/>
</Relationships>
</file>

<file path=xl/worksheets/_rels/sheet18.xml.rels><?xml version="1.0" encoding="UTF-8"?>
<Relationships xmlns="http://schemas.openxmlformats.org/package/2006/relationships"><Relationship Id="rId1" Type="http://schemas.openxmlformats.org/officeDocument/2006/relationships/table" Target="../tables/table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1.38"/>
    <col collapsed="false" customWidth="true" hidden="false" outlineLevel="0" max="6" min="3" style="1" width="22.63"/>
  </cols>
  <sheetData>
    <row r="1" customFormat="false" ht="22.5" hidden="false" customHeight="true" outlineLevel="0" collapsed="false">
      <c r="A1" s="2" t="s">
        <v>0</v>
      </c>
      <c r="B1" s="3" t="s">
        <v>1</v>
      </c>
      <c r="C1" s="3" t="s">
        <v>2</v>
      </c>
      <c r="D1" s="3" t="s">
        <v>3</v>
      </c>
      <c r="E1" s="3" t="s">
        <v>4</v>
      </c>
      <c r="F1" s="3" t="s">
        <v>5</v>
      </c>
      <c r="G1" s="4" t="s">
        <v>6</v>
      </c>
    </row>
    <row r="2" customFormat="false" ht="22.5" hidden="false" customHeight="true" outlineLevel="0" collapsed="false">
      <c r="A2" s="5" t="s">
        <v>7</v>
      </c>
      <c r="B2" s="6" t="s">
        <v>8</v>
      </c>
      <c r="C2" s="6" t="s">
        <v>9</v>
      </c>
      <c r="D2" s="6" t="s">
        <v>10</v>
      </c>
      <c r="E2" s="6" t="s">
        <v>11</v>
      </c>
      <c r="F2" s="7" t="s">
        <v>12</v>
      </c>
      <c r="G2" s="7" t="s">
        <v>13</v>
      </c>
    </row>
    <row r="3" customFormat="false" ht="22.5" hidden="false" customHeight="true" outlineLevel="0" collapsed="false">
      <c r="A3" s="5" t="s">
        <v>14</v>
      </c>
      <c r="B3" s="6" t="s">
        <v>15</v>
      </c>
      <c r="C3" s="6" t="s">
        <v>16</v>
      </c>
      <c r="D3" s="6" t="s">
        <v>17</v>
      </c>
      <c r="E3" s="6" t="s">
        <v>11</v>
      </c>
      <c r="F3" s="7" t="s">
        <v>12</v>
      </c>
      <c r="G3" s="7" t="s">
        <v>13</v>
      </c>
    </row>
    <row r="4" customFormat="false" ht="22.5" hidden="false" customHeight="true" outlineLevel="0" collapsed="false">
      <c r="A4" s="8" t="s">
        <v>18</v>
      </c>
      <c r="B4" s="9" t="s">
        <v>19</v>
      </c>
      <c r="C4" s="9" t="s">
        <v>20</v>
      </c>
      <c r="D4" s="9" t="s">
        <v>21</v>
      </c>
      <c r="E4" s="9" t="s">
        <v>11</v>
      </c>
      <c r="F4" s="7" t="s">
        <v>12</v>
      </c>
      <c r="G4" s="7" t="s">
        <v>13</v>
      </c>
    </row>
    <row r="5" customFormat="false" ht="22.5" hidden="false" customHeight="true" outlineLevel="0" collapsed="false">
      <c r="A5" s="10" t="s">
        <v>22</v>
      </c>
      <c r="B5" s="10" t="s">
        <v>23</v>
      </c>
      <c r="C5" s="10" t="s">
        <v>24</v>
      </c>
      <c r="D5" s="11" t="s">
        <v>25</v>
      </c>
      <c r="E5" s="11" t="s">
        <v>11</v>
      </c>
      <c r="F5" s="11"/>
      <c r="G5" s="11"/>
    </row>
    <row r="6" customFormat="false" ht="22.5" hidden="false" customHeight="true" outlineLevel="0" collapsed="false">
      <c r="A6" s="10" t="s">
        <v>26</v>
      </c>
      <c r="B6" s="10" t="str">
        <f aca="false">IFERROR(__xludf.dummyfunction("VLOOKUP(A6, IMPORTRANGE(""https://docs.google.com/spreadsheets/d/1HptRI86fxRlM-8UuBwJLGHxM1tfAqdBn-My234jkv6U/edit?gid=0#gid=0"", ""Usuarios!B:D""), 2, FALSE)"),"FREDY ARLEY CABRA SIERRA")</f>
        <v>FREDY ARLEY CABRA SIERRA</v>
      </c>
      <c r="C6" s="10" t="str">
        <f aca="false">IFERROR(__xludf.dummyfunction("VLOOKUP(A6, IMPORTRANGE(""https://docs.google.com/spreadsheets/d/1HptRI86fxRlM-8UuBwJLGHxM1tfAqdBn-My234jkv6U/edit?gid=0#gid=0"", ""Usuarios!B:D""), 3, FALSE)"),"freddy.cabra@juanvaldezcafe.com")</f>
        <v>freddy.cabra@juanvaldezcafe.com</v>
      </c>
      <c r="D6" s="11" t="s">
        <v>27</v>
      </c>
      <c r="E6" s="11" t="s">
        <v>11</v>
      </c>
      <c r="F6" s="11"/>
      <c r="G6" s="11"/>
    </row>
    <row r="7" customFormat="false" ht="22.5" hidden="false" customHeight="true" outlineLevel="0" collapsed="false">
      <c r="A7" s="10" t="s">
        <v>28</v>
      </c>
      <c r="B7" s="10" t="str">
        <f aca="false">IFERROR(__xludf.dummyfunction("VLOOKUP(A7, IMPORTRANGE(""https://docs.google.com/spreadsheets/d/1HptRI86fxRlM-8UuBwJLGHxM1tfAqdBn-My234jkv6U/edit?gid=0#gid=0"", ""Usuarios!B:D""), 2, FALSE)"),"ANDRES FELIPE GUTIERREZ BARRERA")</f>
        <v>ANDRES FELIPE GUTIERREZ BARRERA</v>
      </c>
      <c r="C7" s="10" t="str">
        <f aca="false">IFERROR(__xludf.dummyfunction("VLOOKUP(A7, IMPORTRANGE(""https://docs.google.com/spreadsheets/d/1HptRI86fxRlM-8UuBwJLGHxM1tfAqdBn-My234jkv6U/edit?gid=0#gid=0"", ""Usuarios!B:D""), 3, FALSE)"),"andres.gutierrez@juanvaldezcafe.com")</f>
        <v>andres.gutierrez@juanvaldezcafe.com</v>
      </c>
      <c r="D7" s="11" t="s">
        <v>29</v>
      </c>
      <c r="E7" s="11" t="s">
        <v>11</v>
      </c>
      <c r="F7" s="11"/>
      <c r="G7" s="11"/>
    </row>
    <row r="8" customFormat="false" ht="22.5" hidden="false" customHeight="true" outlineLevel="0" collapsed="false">
      <c r="A8" s="10" t="s">
        <v>30</v>
      </c>
      <c r="B8" s="10" t="str">
        <f aca="false">IFERROR(__xludf.dummyfunction("VLOOKUP(A8, IMPORTRANGE(""https://docs.google.com/spreadsheets/d/1HptRI86fxRlM-8UuBwJLGHxM1tfAqdBn-My234jkv6U/edit?gid=0#gid=0"", ""Usuarios!B:D""), 2, FALSE)"),"ANDRES MAURICIO ESPINOSA GARCIA")</f>
        <v>ANDRES MAURICIO ESPINOSA GARCIA</v>
      </c>
      <c r="C8" s="10" t="str">
        <f aca="false">IFERROR(__xludf.dummyfunction("VLOOKUP(A8, IMPORTRANGE(""https://docs.google.com/spreadsheets/d/1HptRI86fxRlM-8UuBwJLGHxM1tfAqdBn-My234jkv6U/edit?gid=0#gid=0"", ""Usuarios!B:D""), 3, FALSE)"),"andres.espinosa@juanvaldezcafe.com")</f>
        <v>andres.espinosa@juanvaldezcafe.com</v>
      </c>
      <c r="D8" s="11" t="s">
        <v>31</v>
      </c>
      <c r="E8" s="11" t="s">
        <v>11</v>
      </c>
      <c r="F8" s="11"/>
      <c r="G8" s="11"/>
    </row>
    <row r="9" customFormat="false" ht="22.5" hidden="false" customHeight="true" outlineLevel="0" collapsed="false">
      <c r="A9" s="10" t="s">
        <v>32</v>
      </c>
      <c r="B9" s="10" t="str">
        <f aca="false">IFERROR(__xludf.dummyfunction("VLOOKUP(A9, IMPORTRANGE(""https://docs.google.com/spreadsheets/d/1HptRI86fxRlM-8UuBwJLGHxM1tfAqdBn-My234jkv6U/edit?gid=0#gid=0"", ""Usuarios!B:D""), 2, FALSE)"),"CLARA ISABEL HIDALGO BETANCUR")</f>
        <v>CLARA ISABEL HIDALGO BETANCUR</v>
      </c>
      <c r="C9" s="10" t="str">
        <f aca="false">IFERROR(__xludf.dummyfunction("VLOOKUP(A9, IMPORTRANGE(""https://docs.google.com/spreadsheets/d/1HptRI86fxRlM-8UuBwJLGHxM1tfAqdBn-My234jkv6U/edit?gid=0#gid=0"", ""Usuarios!B:D""), 3, FALSE)"),"clara.hidalgo@juanvaldezcafe.com")</f>
        <v>clara.hidalgo@juanvaldezcafe.com</v>
      </c>
      <c r="D9" s="11" t="s">
        <v>33</v>
      </c>
      <c r="E9" s="11" t="s">
        <v>11</v>
      </c>
      <c r="F9" s="11"/>
      <c r="G9" s="11"/>
    </row>
    <row r="10" customFormat="false" ht="22.5" hidden="false" customHeight="true" outlineLevel="0" collapsed="false">
      <c r="A10" s="10" t="s">
        <v>34</v>
      </c>
      <c r="B10" s="10" t="s">
        <v>35</v>
      </c>
      <c r="C10" s="10" t="s">
        <v>36</v>
      </c>
      <c r="D10" s="12" t="s">
        <v>37</v>
      </c>
      <c r="E10" s="11" t="s">
        <v>11</v>
      </c>
      <c r="F10" s="10"/>
      <c r="G10" s="10"/>
      <c r="H10" s="13"/>
      <c r="I10" s="13"/>
      <c r="J10" s="13"/>
      <c r="K10" s="13"/>
      <c r="L10" s="13"/>
      <c r="M10" s="13"/>
      <c r="N10" s="13"/>
      <c r="O10" s="13"/>
      <c r="P10" s="13"/>
      <c r="Q10" s="13"/>
      <c r="R10" s="13"/>
      <c r="S10" s="13"/>
      <c r="T10" s="13"/>
      <c r="U10" s="13"/>
      <c r="V10" s="13"/>
      <c r="W10" s="13"/>
      <c r="X10" s="13"/>
      <c r="Y10" s="13"/>
      <c r="Z10" s="13"/>
    </row>
    <row r="11" customFormat="false" ht="22.5" hidden="false" customHeight="true" outlineLevel="0" collapsed="false">
      <c r="A11" s="10" t="s">
        <v>38</v>
      </c>
      <c r="B11" s="10" t="str">
        <f aca="false">IFERROR(__xludf.dummyfunction("VLOOKUP(A11, IMPORTRANGE(""https://docs.google.com/spreadsheets/d/1HptRI86fxRlM-8UuBwJLGHxM1tfAqdBn-My234jkv6U/edit?gid=0#gid=0"", ""Usuarios!B:D""), 2, FALSE)"),"LAURA CAMILA BARON GUTIERREZ")</f>
        <v>LAURA CAMILA BARON GUTIERREZ</v>
      </c>
      <c r="C11" s="10" t="str">
        <f aca="false">IFERROR(__xludf.dummyfunction("VLOOKUP(A11, IMPORTRANGE(""https://docs.google.com/spreadsheets/d/1HptRI86fxRlM-8UuBwJLGHxM1tfAqdBn-My234jkv6U/edit?gid=0#gid=0"", ""Usuarios!B:D""), 3, FALSE)"),"laura.baron@juanvaldezcafe.com")</f>
        <v>laura.baron@juanvaldezcafe.com</v>
      </c>
      <c r="D11" s="10" t="s">
        <v>39</v>
      </c>
      <c r="E11" s="11" t="s">
        <v>11</v>
      </c>
      <c r="F11" s="10"/>
      <c r="G11" s="10"/>
      <c r="H11" s="13"/>
      <c r="I11" s="13"/>
      <c r="J11" s="13"/>
      <c r="K11" s="13"/>
      <c r="L11" s="13"/>
      <c r="M11" s="13"/>
      <c r="N11" s="13"/>
      <c r="O11" s="13"/>
      <c r="P11" s="13"/>
      <c r="Q11" s="13"/>
      <c r="R11" s="13"/>
      <c r="S11" s="13"/>
      <c r="T11" s="13"/>
      <c r="U11" s="13"/>
      <c r="V11" s="13"/>
      <c r="W11" s="13"/>
      <c r="X11" s="13"/>
      <c r="Y11" s="13"/>
      <c r="Z11" s="13"/>
    </row>
    <row r="12" customFormat="false" ht="22.5" hidden="false" customHeight="true" outlineLevel="0" collapsed="false">
      <c r="A12" s="10" t="s">
        <v>40</v>
      </c>
      <c r="B12" s="10" t="str">
        <f aca="false">IFERROR(__xludf.dummyfunction("VLOOKUP(A12, IMPORTRANGE(""https://docs.google.com/spreadsheets/d/1HptRI86fxRlM-8UuBwJLGHxM1tfAqdBn-My234jkv6U/edit?gid=0#gid=0"", ""Usuarios!B:D""), 2, FALSE)"),"OSCAR AUGUSTO PIÑEIRO PADILLA")</f>
        <v>OSCAR AUGUSTO PIÑEIRO PADILLA</v>
      </c>
      <c r="C12" s="10" t="str">
        <f aca="false">IFERROR(__xludf.dummyfunction("VLOOKUP(A12, IMPORTRANGE(""https://docs.google.com/spreadsheets/d/1HptRI86fxRlM-8UuBwJLGHxM1tfAqdBn-My234jkv6U/edit?gid=0#gid=0"", ""Usuarios!B:D""), 3, FALSE)"),"oscar.pineiro@juanvaldezcafe.com")</f>
        <v>oscar.pineiro@juanvaldezcafe.com</v>
      </c>
      <c r="D12" s="10" t="s">
        <v>41</v>
      </c>
      <c r="E12" s="11" t="s">
        <v>11</v>
      </c>
      <c r="F12" s="10"/>
      <c r="G12" s="10"/>
      <c r="H12" s="13"/>
      <c r="I12" s="13"/>
      <c r="J12" s="13"/>
      <c r="K12" s="13"/>
      <c r="L12" s="13"/>
      <c r="M12" s="13"/>
      <c r="N12" s="13"/>
      <c r="O12" s="13"/>
      <c r="P12" s="13"/>
      <c r="Q12" s="13"/>
      <c r="R12" s="13"/>
      <c r="S12" s="13"/>
      <c r="T12" s="13"/>
      <c r="U12" s="13"/>
      <c r="V12" s="13"/>
      <c r="W12" s="13"/>
      <c r="X12" s="13"/>
      <c r="Y12" s="13"/>
      <c r="Z12" s="13"/>
    </row>
    <row r="13" customFormat="false" ht="22.5" hidden="false" customHeight="true" outlineLevel="0" collapsed="false">
      <c r="A13" s="10" t="s">
        <v>42</v>
      </c>
      <c r="B13" s="10" t="str">
        <f aca="false">IFERROR(__xludf.dummyfunction("VLOOKUP(A13, IMPORTRANGE(""https://docs.google.com/spreadsheets/d/1HptRI86fxRlM-8UuBwJLGHxM1tfAqdBn-My234jkv6U/edit?gid=0#gid=0"", ""Usuarios!B:D""), 2, FALSE)"),"ANDREA PERDOMO GARZON")</f>
        <v>ANDREA PERDOMO GARZON</v>
      </c>
      <c r="C13" s="10" t="str">
        <f aca="false">IFERROR(__xludf.dummyfunction("VLOOKUP(A13, IMPORTRANGE(""https://docs.google.com/spreadsheets/d/1HptRI86fxRlM-8UuBwJLGHxM1tfAqdBn-My234jkv6U/edit?gid=0#gid=0"", ""Usuarios!B:D""), 3, FALSE)"),"andrea.perdomo@juanvaldezcafe.com")</f>
        <v>andrea.perdomo@juanvaldezcafe.com</v>
      </c>
      <c r="D13" s="12" t="s">
        <v>43</v>
      </c>
      <c r="E13" s="11" t="s">
        <v>11</v>
      </c>
      <c r="F13" s="10"/>
      <c r="G13" s="10"/>
      <c r="H13" s="13"/>
      <c r="I13" s="13"/>
      <c r="J13" s="13"/>
      <c r="K13" s="13"/>
      <c r="L13" s="13"/>
      <c r="M13" s="13"/>
      <c r="N13" s="13"/>
      <c r="O13" s="13"/>
      <c r="P13" s="13"/>
      <c r="Q13" s="13"/>
      <c r="R13" s="13"/>
      <c r="S13" s="13"/>
      <c r="T13" s="13"/>
      <c r="U13" s="13"/>
      <c r="V13" s="13"/>
      <c r="W13" s="13"/>
      <c r="X13" s="13"/>
      <c r="Y13" s="13"/>
      <c r="Z13" s="13"/>
    </row>
    <row r="14" customFormat="false" ht="22.5" hidden="false" customHeight="true" outlineLevel="0" collapsed="false">
      <c r="A14" s="10" t="s">
        <v>44</v>
      </c>
      <c r="B14" s="10" t="str">
        <f aca="false">IFERROR(__xludf.dummyfunction("VLOOKUP(A14, IMPORTRANGE(""https://docs.google.com/spreadsheets/d/1HptRI86fxRlM-8UuBwJLGHxM1tfAqdBn-My234jkv6U/edit?gid=0#gid=0"", ""Usuarios!B:D""), 2, FALSE)"),"ANGELA MARCELA GARCIA MOLINA")</f>
        <v>ANGELA MARCELA GARCIA MOLINA</v>
      </c>
      <c r="C14" s="10" t="str">
        <f aca="false">IFERROR(__xludf.dummyfunction("VLOOKUP(A14, IMPORTRANGE(""https://docs.google.com/spreadsheets/d/1HptRI86fxRlM-8UuBwJLGHxM1tfAqdBn-My234jkv6U/edit?gid=0#gid=0"", ""Usuarios!B:D""), 3, FALSE)"),"angela.garcia@juanvaldezcafe.com")</f>
        <v>angela.garcia@juanvaldezcafe.com</v>
      </c>
      <c r="D14" s="12" t="s">
        <v>45</v>
      </c>
      <c r="E14" s="11" t="s">
        <v>11</v>
      </c>
      <c r="F14" s="10"/>
      <c r="G14" s="10"/>
      <c r="H14" s="13"/>
      <c r="I14" s="13"/>
      <c r="J14" s="13"/>
      <c r="K14" s="13"/>
      <c r="L14" s="13"/>
      <c r="M14" s="13"/>
      <c r="N14" s="13"/>
      <c r="O14" s="13"/>
      <c r="P14" s="13"/>
      <c r="Q14" s="13"/>
      <c r="R14" s="13"/>
      <c r="S14" s="13"/>
      <c r="T14" s="13"/>
      <c r="U14" s="13"/>
      <c r="V14" s="13"/>
      <c r="W14" s="13"/>
      <c r="X14" s="13"/>
      <c r="Y14" s="13"/>
      <c r="Z14" s="13"/>
    </row>
    <row r="15" customFormat="false" ht="22.5" hidden="false" customHeight="true" outlineLevel="0" collapsed="false">
      <c r="A15" s="10" t="s">
        <v>46</v>
      </c>
      <c r="B15" s="10" t="s">
        <v>47</v>
      </c>
      <c r="C15" s="10" t="s">
        <v>48</v>
      </c>
      <c r="D15" s="12" t="s">
        <v>49</v>
      </c>
      <c r="E15" s="11" t="s">
        <v>50</v>
      </c>
      <c r="F15" s="10"/>
      <c r="G15" s="10"/>
      <c r="H15" s="13"/>
      <c r="I15" s="13"/>
      <c r="J15" s="13"/>
      <c r="K15" s="13"/>
      <c r="L15" s="13"/>
      <c r="M15" s="13"/>
      <c r="N15" s="13"/>
      <c r="O15" s="13"/>
      <c r="P15" s="13"/>
      <c r="Q15" s="13"/>
      <c r="R15" s="13"/>
      <c r="S15" s="13"/>
      <c r="T15" s="13"/>
      <c r="U15" s="13"/>
      <c r="V15" s="13"/>
      <c r="W15" s="13"/>
      <c r="X15" s="13"/>
      <c r="Y15" s="13"/>
      <c r="Z15" s="13"/>
    </row>
    <row r="16" customFormat="false" ht="22.5" hidden="false" customHeight="true" outlineLevel="0" collapsed="false">
      <c r="A16" s="10" t="s">
        <v>51</v>
      </c>
      <c r="B16" s="10" t="str">
        <f aca="false">IFERROR(__xludf.dummyfunction("VLOOKUP(A16, IMPORTRANGE(""https://docs.google.com/spreadsheets/d/1HptRI86fxRlM-8UuBwJLGHxM1tfAqdBn-My234jkv6U/edit?gid=0#gid=0"", ""Usuarios!B:D""), 2, FALSE)"),"DIANA CATERINE APONTE ROMERO")</f>
        <v>DIANA CATERINE APONTE ROMERO</v>
      </c>
      <c r="C16" s="10" t="str">
        <f aca="false">IFERROR(__xludf.dummyfunction("VLOOKUP(A16, IMPORTRANGE(""https://docs.google.com/spreadsheets/d/1HptRI86fxRlM-8UuBwJLGHxM1tfAqdBn-My234jkv6U/edit?gid=0#gid=0"", ""Usuarios!B:D""), 3, FALSE)"),"diana.aponte@juanvaldezcafe.com")</f>
        <v>diana.aponte@juanvaldezcafe.com</v>
      </c>
      <c r="D16" s="12" t="s">
        <v>52</v>
      </c>
      <c r="E16" s="11" t="s">
        <v>11</v>
      </c>
      <c r="F16" s="10"/>
      <c r="G16" s="10"/>
      <c r="H16" s="13"/>
      <c r="I16" s="13"/>
      <c r="J16" s="13"/>
      <c r="K16" s="13"/>
      <c r="L16" s="13"/>
      <c r="M16" s="13"/>
      <c r="N16" s="13"/>
      <c r="O16" s="13"/>
      <c r="P16" s="13"/>
      <c r="Q16" s="13"/>
      <c r="R16" s="13"/>
      <c r="S16" s="13"/>
      <c r="T16" s="13"/>
      <c r="U16" s="13"/>
      <c r="V16" s="13"/>
      <c r="W16" s="13"/>
      <c r="X16" s="13"/>
      <c r="Y16" s="13"/>
      <c r="Z16" s="13"/>
    </row>
    <row r="17" customFormat="false" ht="22.5" hidden="false" customHeight="true" outlineLevel="0" collapsed="false">
      <c r="A17" s="10" t="s">
        <v>53</v>
      </c>
      <c r="B17" s="10" t="str">
        <f aca="false">IFERROR(__xludf.dummyfunction("VLOOKUP(A17, IMPORTRANGE(""https://docs.google.com/spreadsheets/d/1HptRI86fxRlM-8UuBwJLGHxM1tfAqdBn-My234jkv6U/edit?gid=0#gid=0"", ""Usuarios!B:D""), 2, FALSE)"),"LAURA SOFIA PEREZ VERA")</f>
        <v>LAURA SOFIA PEREZ VERA</v>
      </c>
      <c r="C17" s="10" t="str">
        <f aca="false">IFERROR(__xludf.dummyfunction("VLOOKUP(A17, IMPORTRANGE(""https://docs.google.com/spreadsheets/d/1HptRI86fxRlM-8UuBwJLGHxM1tfAqdBn-My234jkv6U/edit?gid=0#gid=0"", ""Usuarios!B:D""), 3, FALSE)"),"laura.vera@juanvaldezcafe.com")</f>
        <v>laura.vera@juanvaldezcafe.com</v>
      </c>
      <c r="D17" s="10" t="s">
        <v>54</v>
      </c>
      <c r="E17" s="11" t="s">
        <v>11</v>
      </c>
      <c r="F17" s="10"/>
      <c r="G17" s="10"/>
      <c r="H17" s="13"/>
      <c r="I17" s="13"/>
      <c r="J17" s="13"/>
      <c r="K17" s="13"/>
      <c r="L17" s="13"/>
      <c r="M17" s="13"/>
      <c r="N17" s="13"/>
      <c r="O17" s="13"/>
      <c r="P17" s="13"/>
      <c r="Q17" s="13"/>
      <c r="R17" s="13"/>
      <c r="S17" s="13"/>
      <c r="T17" s="13"/>
      <c r="U17" s="13"/>
      <c r="V17" s="13"/>
      <c r="W17" s="13"/>
      <c r="X17" s="13"/>
      <c r="Y17" s="13"/>
      <c r="Z17" s="13"/>
    </row>
    <row r="18" customFormat="false" ht="22.5" hidden="false" customHeight="true" outlineLevel="0" collapsed="false">
      <c r="A18" s="10" t="s">
        <v>55</v>
      </c>
      <c r="B18" s="10" t="str">
        <f aca="false">IFERROR(__xludf.dummyfunction("VLOOKUP(A18, IMPORTRANGE(""https://docs.google.com/spreadsheets/d/1HptRI86fxRlM-8UuBwJLGHxM1tfAqdBn-My234jkv6U/edit?gid=0#gid=0"", ""Usuarios!B:D""), 2, FALSE)"),"EYNER ALARCON CUCHIGAY")</f>
        <v>EYNER ALARCON CUCHIGAY</v>
      </c>
      <c r="C18" s="10" t="str">
        <f aca="false">IFERROR(__xludf.dummyfunction("VLOOKUP(A18, IMPORTRANGE(""https://docs.google.com/spreadsheets/d/1HptRI86fxRlM-8UuBwJLGHxM1tfAqdBn-My234jkv6U/edit?gid=0#gid=0"", ""Usuarios!B:D""), 3, FALSE)"),"eyner.alarcon@juanvaldezcafe.com")</f>
        <v>eyner.alarcon@juanvaldezcafe.com</v>
      </c>
      <c r="D18" s="12" t="s">
        <v>56</v>
      </c>
      <c r="E18" s="11" t="s">
        <v>11</v>
      </c>
      <c r="F18" s="10"/>
      <c r="G18" s="10"/>
      <c r="H18" s="13"/>
      <c r="I18" s="13"/>
      <c r="J18" s="13"/>
      <c r="K18" s="13"/>
      <c r="L18" s="13"/>
      <c r="M18" s="13"/>
      <c r="N18" s="13"/>
      <c r="O18" s="13"/>
      <c r="P18" s="13"/>
      <c r="Q18" s="13"/>
      <c r="R18" s="13"/>
      <c r="S18" s="13"/>
      <c r="T18" s="13"/>
      <c r="U18" s="13"/>
      <c r="V18" s="13"/>
      <c r="W18" s="13"/>
      <c r="X18" s="13"/>
      <c r="Y18" s="13"/>
      <c r="Z18" s="13"/>
    </row>
    <row r="19" customFormat="false" ht="22.5" hidden="false" customHeight="true" outlineLevel="0" collapsed="false">
      <c r="A19" s="10" t="s">
        <v>57</v>
      </c>
      <c r="B19" s="10" t="str">
        <f aca="false">IFERROR(__xludf.dummyfunction("VLOOKUP(A19, IMPORTRANGE(""https://docs.google.com/spreadsheets/d/1HptRI86fxRlM-8UuBwJLGHxM1tfAqdBn-My234jkv6U/edit?gid=0#gid=0"", ""Usuarios!B:D""), 2, FALSE)"),"VALERIA GIL HERNANDEZ")</f>
        <v>VALERIA GIL HERNANDEZ</v>
      </c>
      <c r="C19" s="10" t="str">
        <f aca="false">IFERROR(__xludf.dummyfunction("VLOOKUP(A19, IMPORTRANGE(""https://docs.google.com/spreadsheets/d/1HptRI86fxRlM-8UuBwJLGHxM1tfAqdBn-My234jkv6U/edit?gid=0#gid=0"", ""Usuarios!B:D""), 3, FALSE)"),"valeria.gil@juanvaldezcafe.com")</f>
        <v>valeria.gil@juanvaldezcafe.com</v>
      </c>
      <c r="D19" s="14" t="s">
        <v>58</v>
      </c>
      <c r="E19" s="11" t="s">
        <v>11</v>
      </c>
      <c r="F19" s="10"/>
      <c r="G19" s="10"/>
      <c r="H19" s="13"/>
      <c r="I19" s="13"/>
      <c r="J19" s="13"/>
      <c r="K19" s="13"/>
      <c r="L19" s="13"/>
      <c r="M19" s="13"/>
      <c r="N19" s="13"/>
      <c r="O19" s="13"/>
      <c r="P19" s="13"/>
      <c r="Q19" s="13"/>
      <c r="R19" s="13"/>
      <c r="S19" s="13"/>
      <c r="T19" s="13"/>
      <c r="U19" s="13"/>
      <c r="V19" s="13"/>
      <c r="W19" s="13"/>
      <c r="X19" s="13"/>
      <c r="Y19" s="13"/>
      <c r="Z19" s="13"/>
    </row>
    <row r="20" customFormat="false" ht="22.5" hidden="false" customHeight="true" outlineLevel="0" collapsed="false">
      <c r="A20" s="10" t="s">
        <v>59</v>
      </c>
      <c r="B20" s="10" t="str">
        <f aca="false">IFERROR(__xludf.dummyfunction("VLOOKUP(A20, IMPORTRANGE(""https://docs.google.com/spreadsheets/d/1HptRI86fxRlM-8UuBwJLGHxM1tfAqdBn-My234jkv6U/edit?gid=0#gid=0"", ""Usuarios!B:D""), 2, FALSE)"),"LAURA YINETH SANTAFE CRUZ")</f>
        <v>LAURA YINETH SANTAFE CRUZ</v>
      </c>
      <c r="C20" s="10" t="str">
        <f aca="false">IFERROR(__xludf.dummyfunction("VLOOKUP(A20, IMPORTRANGE(""https://docs.google.com/spreadsheets/d/1HptRI86fxRlM-8UuBwJLGHxM1tfAqdBn-My234jkv6U/edit?gid=0#gid=0"", ""Usuarios!B:D""), 3, FALSE)"),"laura.santafe@juanvaldezcafe.com")</f>
        <v>laura.santafe@juanvaldezcafe.com</v>
      </c>
      <c r="D20" s="12" t="s">
        <v>60</v>
      </c>
      <c r="E20" s="11" t="s">
        <v>11</v>
      </c>
      <c r="F20" s="10"/>
      <c r="G20" s="10"/>
      <c r="H20" s="13"/>
      <c r="I20" s="13"/>
      <c r="J20" s="13"/>
      <c r="K20" s="13"/>
      <c r="L20" s="13"/>
      <c r="M20" s="13"/>
      <c r="N20" s="13"/>
      <c r="O20" s="13"/>
      <c r="P20" s="13"/>
      <c r="Q20" s="13"/>
      <c r="R20" s="13"/>
      <c r="S20" s="13"/>
      <c r="T20" s="13"/>
      <c r="U20" s="13"/>
      <c r="V20" s="13"/>
      <c r="W20" s="13"/>
      <c r="X20" s="13"/>
      <c r="Y20" s="13"/>
      <c r="Z20" s="13"/>
    </row>
    <row r="21" customFormat="false" ht="22.5" hidden="false" customHeight="true" outlineLevel="0" collapsed="false">
      <c r="A21" s="10" t="s">
        <v>61</v>
      </c>
      <c r="B21" s="10" t="str">
        <f aca="false">IFERROR(__xludf.dummyfunction("VLOOKUP(A21, IMPORTRANGE(""https://docs.google.com/spreadsheets/d/1HptRI86fxRlM-8UuBwJLGHxM1tfAqdBn-My234jkv6U/edit?gid=0#gid=0"", ""Usuarios!B:D""), 2, FALSE)"),"VALENTINA GARCIA FLOREZ")</f>
        <v>VALENTINA GARCIA FLOREZ</v>
      </c>
      <c r="C21" s="10" t="str">
        <f aca="false">IFERROR(__xludf.dummyfunction("VLOOKUP(A21, IMPORTRANGE(""https://docs.google.com/spreadsheets/d/1HptRI86fxRlM-8UuBwJLGHxM1tfAqdBn-My234jkv6U/edit?gid=0#gid=0"", ""Usuarios!B:D""), 3, FALSE)"),"valentina.garcia@juanvaldezcafe.com")</f>
        <v>valentina.garcia@juanvaldezcafe.com</v>
      </c>
      <c r="D21" s="12" t="s">
        <v>62</v>
      </c>
      <c r="E21" s="11" t="s">
        <v>11</v>
      </c>
      <c r="F21" s="10"/>
      <c r="G21" s="10"/>
      <c r="H21" s="13"/>
      <c r="I21" s="13"/>
      <c r="J21" s="13"/>
      <c r="K21" s="13"/>
      <c r="L21" s="13"/>
      <c r="M21" s="13"/>
      <c r="N21" s="13"/>
      <c r="O21" s="13"/>
      <c r="P21" s="13"/>
      <c r="Q21" s="13"/>
      <c r="R21" s="13"/>
      <c r="S21" s="13"/>
      <c r="T21" s="13"/>
      <c r="U21" s="13"/>
      <c r="V21" s="13"/>
      <c r="W21" s="13"/>
      <c r="X21" s="13"/>
      <c r="Y21" s="13"/>
      <c r="Z21" s="13"/>
    </row>
    <row r="22" customFormat="false" ht="22.5" hidden="false" customHeight="true" outlineLevel="0" collapsed="false">
      <c r="A22" s="10" t="s">
        <v>63</v>
      </c>
      <c r="B22" s="10" t="str">
        <f aca="false">IFERROR(__xludf.dummyfunction("VLOOKUP(A22, IMPORTRANGE(""https://docs.google.com/spreadsheets/d/1HptRI86fxRlM-8UuBwJLGHxM1tfAqdBn-My234jkv6U/edit?gid=0#gid=0"", ""Usuarios!B:D""), 2, FALSE)"),"LUZ MARINA PINZON IBARRA")</f>
        <v>LUZ MARINA PINZON IBARRA</v>
      </c>
      <c r="C22" s="10" t="str">
        <f aca="false">IFERROR(__xludf.dummyfunction("VLOOKUP(A22, IMPORTRANGE(""https://docs.google.com/spreadsheets/d/1HptRI86fxRlM-8UuBwJLGHxM1tfAqdBn-My234jkv6U/edit?gid=0#gid=0"", ""Usuarios!B:D""), 3, FALSE)"),"luz.pinzon@juanvaldezcafe.com")</f>
        <v>luz.pinzon@juanvaldezcafe.com</v>
      </c>
      <c r="D22" s="12" t="s">
        <v>64</v>
      </c>
      <c r="E22" s="11" t="s">
        <v>11</v>
      </c>
      <c r="F22" s="10"/>
      <c r="G22" s="10"/>
      <c r="H22" s="13"/>
      <c r="I22" s="13"/>
      <c r="J22" s="13"/>
      <c r="K22" s="13"/>
      <c r="L22" s="13"/>
      <c r="M22" s="13"/>
      <c r="N22" s="13"/>
      <c r="O22" s="13"/>
      <c r="P22" s="13"/>
      <c r="Q22" s="13"/>
      <c r="R22" s="13"/>
      <c r="S22" s="13"/>
      <c r="T22" s="13"/>
      <c r="U22" s="13"/>
      <c r="V22" s="13"/>
      <c r="W22" s="13"/>
      <c r="X22" s="13"/>
      <c r="Y22" s="13"/>
      <c r="Z22" s="13"/>
    </row>
  </sheetData>
  <dataValidations count="1">
    <dataValidation allowBlank="true" errorStyle="stop" operator="between" showDropDown="true" showErrorMessage="false" showInputMessage="false" sqref="D2:D22" type="none">
      <formul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7.13"/>
    <col collapsed="false" customWidth="true" hidden="false" outlineLevel="0" max="3" min="3" style="1" width="34"/>
    <col collapsed="false" customWidth="true" hidden="false" outlineLevel="0" max="6" min="4" style="1" width="22.63"/>
    <col collapsed="false" customWidth="true" hidden="false" outlineLevel="0" max="7" min="7" style="1" width="33.88"/>
  </cols>
  <sheetData>
    <row r="1" customFormat="false" ht="22.5" hidden="false" customHeight="true" outlineLevel="0" collapsed="false">
      <c r="A1" s="2" t="s">
        <v>65</v>
      </c>
      <c r="B1" s="3" t="s">
        <v>1</v>
      </c>
      <c r="C1" s="3" t="s">
        <v>2</v>
      </c>
      <c r="D1" s="3" t="s">
        <v>3</v>
      </c>
      <c r="E1" s="3" t="s">
        <v>4</v>
      </c>
      <c r="F1" s="3" t="s">
        <v>5</v>
      </c>
      <c r="G1" s="4" t="s">
        <v>6</v>
      </c>
    </row>
    <row r="2" customFormat="false" ht="22.5" hidden="true" customHeight="true" outlineLevel="0" collapsed="false">
      <c r="A2" s="15" t="s">
        <v>66</v>
      </c>
      <c r="B2" s="16" t="s">
        <v>67</v>
      </c>
      <c r="C2" s="16" t="s">
        <v>68</v>
      </c>
      <c r="D2" s="17" t="n">
        <v>192168240126</v>
      </c>
      <c r="E2" s="16" t="s">
        <v>11</v>
      </c>
      <c r="F2" s="16"/>
      <c r="G2" s="16" t="s">
        <v>69</v>
      </c>
    </row>
    <row r="3" customFormat="false" ht="22.5" hidden="false" customHeight="true" outlineLevel="0" collapsed="false">
      <c r="A3" s="18" t="s">
        <v>70</v>
      </c>
      <c r="B3" s="19" t="s">
        <v>71</v>
      </c>
      <c r="C3" s="19" t="s">
        <v>72</v>
      </c>
      <c r="D3" s="19" t="s">
        <v>73</v>
      </c>
      <c r="E3" s="19" t="s">
        <v>11</v>
      </c>
      <c r="F3" s="19"/>
      <c r="G3" s="19" t="s">
        <v>74</v>
      </c>
    </row>
    <row r="4" customFormat="false" ht="22.5" hidden="false" customHeight="true" outlineLevel="0" collapsed="false">
      <c r="A4" s="18" t="s">
        <v>75</v>
      </c>
      <c r="B4" s="19" t="s">
        <v>76</v>
      </c>
      <c r="C4" s="19" t="s">
        <v>77</v>
      </c>
      <c r="D4" s="19" t="s">
        <v>78</v>
      </c>
      <c r="E4" s="19" t="s">
        <v>11</v>
      </c>
      <c r="F4" s="19"/>
      <c r="G4" s="19" t="s">
        <v>74</v>
      </c>
    </row>
    <row r="5" customFormat="false" ht="22.5" hidden="false" customHeight="true" outlineLevel="0" collapsed="false">
      <c r="A5" s="18" t="s">
        <v>79</v>
      </c>
      <c r="B5" s="19" t="s">
        <v>80</v>
      </c>
      <c r="C5" s="19" t="s">
        <v>81</v>
      </c>
      <c r="D5" s="19" t="s">
        <v>82</v>
      </c>
      <c r="E5" s="19" t="s">
        <v>11</v>
      </c>
      <c r="F5" s="19"/>
      <c r="G5" s="19" t="s">
        <v>74</v>
      </c>
    </row>
    <row r="6" customFormat="false" ht="22.5" hidden="true" customHeight="true" outlineLevel="0" collapsed="false">
      <c r="A6" s="15" t="s">
        <v>83</v>
      </c>
      <c r="B6" s="16" t="s">
        <v>84</v>
      </c>
      <c r="C6" s="16" t="s">
        <v>85</v>
      </c>
      <c r="D6" s="16" t="s">
        <v>86</v>
      </c>
      <c r="E6" s="16" t="s">
        <v>11</v>
      </c>
      <c r="F6" s="16"/>
      <c r="G6" s="16" t="s">
        <v>69</v>
      </c>
    </row>
    <row r="7" customFormat="false" ht="22.5" hidden="true" customHeight="true" outlineLevel="0" collapsed="false">
      <c r="A7" s="15" t="s">
        <v>87</v>
      </c>
      <c r="B7" s="16"/>
      <c r="C7" s="16"/>
      <c r="D7" s="16"/>
      <c r="E7" s="16"/>
      <c r="F7" s="16"/>
      <c r="G7" s="16" t="s">
        <v>69</v>
      </c>
    </row>
    <row r="8" customFormat="false" ht="22.5" hidden="true" customHeight="true" outlineLevel="0" collapsed="false">
      <c r="A8" s="15" t="s">
        <v>88</v>
      </c>
      <c r="B8" s="16" t="s">
        <v>89</v>
      </c>
      <c r="C8" s="16" t="s">
        <v>90</v>
      </c>
      <c r="D8" s="16" t="s">
        <v>91</v>
      </c>
      <c r="E8" s="16" t="s">
        <v>11</v>
      </c>
      <c r="F8" s="16"/>
      <c r="G8" s="16" t="s">
        <v>69</v>
      </c>
    </row>
    <row r="9" customFormat="false" ht="22.5" hidden="false" customHeight="true" outlineLevel="0" collapsed="false">
      <c r="A9" s="18" t="s">
        <v>92</v>
      </c>
      <c r="B9" s="19" t="s">
        <v>93</v>
      </c>
      <c r="C9" s="19" t="s">
        <v>94</v>
      </c>
      <c r="D9" s="19" t="s">
        <v>95</v>
      </c>
      <c r="E9" s="19" t="s">
        <v>11</v>
      </c>
      <c r="F9" s="19"/>
      <c r="G9" s="19" t="s">
        <v>74</v>
      </c>
    </row>
    <row r="10" customFormat="false" ht="22.5" hidden="false" customHeight="true" outlineLevel="0" collapsed="false">
      <c r="A10" s="18" t="s">
        <v>96</v>
      </c>
      <c r="B10" s="19" t="s">
        <v>97</v>
      </c>
      <c r="C10" s="19" t="s">
        <v>98</v>
      </c>
      <c r="D10" s="20" t="n">
        <v>192168240206</v>
      </c>
      <c r="E10" s="19" t="s">
        <v>11</v>
      </c>
      <c r="F10" s="19"/>
      <c r="G10" s="19" t="s">
        <v>74</v>
      </c>
    </row>
    <row r="11" customFormat="false" ht="22.5" hidden="false" customHeight="true" outlineLevel="0" collapsed="false">
      <c r="A11" s="18" t="s">
        <v>99</v>
      </c>
      <c r="B11" s="19" t="s">
        <v>100</v>
      </c>
      <c r="C11" s="19" t="s">
        <v>101</v>
      </c>
      <c r="D11" s="19" t="s">
        <v>102</v>
      </c>
      <c r="E11" s="19" t="s">
        <v>11</v>
      </c>
      <c r="F11" s="19"/>
      <c r="G11" s="19" t="s">
        <v>74</v>
      </c>
    </row>
    <row r="12" customFormat="false" ht="22.5" hidden="false" customHeight="true" outlineLevel="0" collapsed="false">
      <c r="A12" s="18" t="s">
        <v>103</v>
      </c>
      <c r="B12" s="19" t="s">
        <v>104</v>
      </c>
      <c r="C12" s="19" t="s">
        <v>105</v>
      </c>
      <c r="D12" s="19" t="s">
        <v>106</v>
      </c>
      <c r="E12" s="19" t="s">
        <v>11</v>
      </c>
      <c r="F12" s="19"/>
      <c r="G12" s="19" t="s">
        <v>74</v>
      </c>
    </row>
    <row r="13" customFormat="false" ht="22.5" hidden="false" customHeight="true" outlineLevel="0" collapsed="false">
      <c r="A13" s="18" t="s">
        <v>107</v>
      </c>
      <c r="B13" s="19" t="s">
        <v>108</v>
      </c>
      <c r="C13" s="19" t="s">
        <v>109</v>
      </c>
      <c r="D13" s="19" t="s">
        <v>110</v>
      </c>
      <c r="E13" s="19" t="s">
        <v>11</v>
      </c>
      <c r="F13" s="19"/>
      <c r="G13" s="19" t="s">
        <v>74</v>
      </c>
    </row>
    <row r="14" customFormat="false" ht="22.5" hidden="false" customHeight="true" outlineLevel="0" collapsed="false">
      <c r="A14" s="18" t="s">
        <v>111</v>
      </c>
      <c r="B14" s="19" t="s">
        <v>112</v>
      </c>
      <c r="C14" s="19" t="s">
        <v>113</v>
      </c>
      <c r="D14" s="19" t="s">
        <v>114</v>
      </c>
      <c r="E14" s="19" t="s">
        <v>11</v>
      </c>
      <c r="F14" s="19"/>
      <c r="G14" s="19" t="s">
        <v>74</v>
      </c>
    </row>
    <row r="15" customFormat="false" ht="22.5" hidden="true" customHeight="true" outlineLevel="0" collapsed="false">
      <c r="A15" s="15" t="s">
        <v>115</v>
      </c>
      <c r="B15" s="16" t="s">
        <v>116</v>
      </c>
      <c r="C15" s="16" t="s">
        <v>116</v>
      </c>
      <c r="D15" s="17" t="s">
        <v>116</v>
      </c>
      <c r="E15" s="16" t="s">
        <v>116</v>
      </c>
      <c r="F15" s="16"/>
      <c r="G15" s="16"/>
    </row>
    <row r="16" customFormat="false" ht="22.5" hidden="true" customHeight="true" outlineLevel="0" collapsed="false">
      <c r="A16" s="15" t="s">
        <v>117</v>
      </c>
      <c r="B16" s="16" t="s">
        <v>116</v>
      </c>
      <c r="C16" s="16" t="s">
        <v>116</v>
      </c>
      <c r="D16" s="17" t="s">
        <v>116</v>
      </c>
      <c r="E16" s="16" t="s">
        <v>116</v>
      </c>
      <c r="F16" s="16"/>
      <c r="G16" s="16"/>
    </row>
    <row r="17" customFormat="false" ht="22.5" hidden="true" customHeight="true" outlineLevel="0" collapsed="false">
      <c r="A17" s="15" t="s">
        <v>118</v>
      </c>
      <c r="B17" s="16" t="s">
        <v>119</v>
      </c>
      <c r="C17" s="16" t="s">
        <v>116</v>
      </c>
      <c r="D17" s="17" t="s">
        <v>116</v>
      </c>
      <c r="E17" s="16" t="s">
        <v>116</v>
      </c>
      <c r="F17" s="16"/>
      <c r="G17" s="16" t="s">
        <v>116</v>
      </c>
    </row>
    <row r="18" customFormat="false" ht="22.5" hidden="true" customHeight="true" outlineLevel="0" collapsed="false">
      <c r="A18" s="15" t="s">
        <v>120</v>
      </c>
      <c r="B18" s="16" t="s">
        <v>116</v>
      </c>
      <c r="C18" s="16" t="s">
        <v>116</v>
      </c>
      <c r="D18" s="17" t="s">
        <v>116</v>
      </c>
      <c r="E18" s="16" t="s">
        <v>116</v>
      </c>
      <c r="F18" s="16"/>
      <c r="G18" s="16"/>
    </row>
    <row r="19" customFormat="false" ht="22.5" hidden="true" customHeight="true" outlineLevel="0" collapsed="false">
      <c r="A19" s="15" t="s">
        <v>121</v>
      </c>
      <c r="B19" s="16" t="s">
        <v>116</v>
      </c>
      <c r="C19" s="16" t="s">
        <v>116</v>
      </c>
      <c r="D19" s="17" t="s">
        <v>116</v>
      </c>
      <c r="E19" s="16" t="s">
        <v>116</v>
      </c>
      <c r="F19" s="16"/>
      <c r="G19" s="16"/>
    </row>
    <row r="20" customFormat="false" ht="22.5" hidden="true" customHeight="true" outlineLevel="0" collapsed="false">
      <c r="A20" s="15" t="s">
        <v>122</v>
      </c>
      <c r="B20" s="16" t="s">
        <v>116</v>
      </c>
      <c r="C20" s="16" t="s">
        <v>116</v>
      </c>
      <c r="D20" s="17" t="s">
        <v>116</v>
      </c>
      <c r="E20" s="16" t="s">
        <v>116</v>
      </c>
      <c r="F20" s="16"/>
      <c r="G20" s="16"/>
    </row>
    <row r="21" customFormat="false" ht="22.5" hidden="true" customHeight="true" outlineLevel="0" collapsed="false">
      <c r="A21" s="15" t="s">
        <v>123</v>
      </c>
      <c r="B21" s="16" t="s">
        <v>116</v>
      </c>
      <c r="C21" s="16" t="s">
        <v>116</v>
      </c>
      <c r="D21" s="17" t="s">
        <v>116</v>
      </c>
      <c r="E21" s="16" t="s">
        <v>116</v>
      </c>
      <c r="F21" s="16"/>
      <c r="G21" s="16"/>
    </row>
    <row r="22" customFormat="false" ht="22.5" hidden="false" customHeight="true" outlineLevel="0" collapsed="false">
      <c r="A22" s="18" t="s">
        <v>124</v>
      </c>
      <c r="B22" s="19" t="s">
        <v>125</v>
      </c>
      <c r="C22" s="19" t="s">
        <v>126</v>
      </c>
      <c r="D22" s="19" t="s">
        <v>127</v>
      </c>
      <c r="E22" s="19" t="s">
        <v>11</v>
      </c>
      <c r="F22" s="19"/>
      <c r="G22" s="19" t="s">
        <v>74</v>
      </c>
    </row>
    <row r="23" customFormat="false" ht="22.5" hidden="false" customHeight="true" outlineLevel="0" collapsed="false">
      <c r="A23" s="18" t="s">
        <v>128</v>
      </c>
      <c r="B23" s="19" t="s">
        <v>129</v>
      </c>
      <c r="C23" s="19" t="s">
        <v>130</v>
      </c>
      <c r="D23" s="19" t="s">
        <v>131</v>
      </c>
      <c r="E23" s="19" t="s">
        <v>11</v>
      </c>
      <c r="F23" s="19"/>
      <c r="G23" s="19" t="s">
        <v>74</v>
      </c>
    </row>
    <row r="24" customFormat="false" ht="22.5" hidden="true" customHeight="true" outlineLevel="0" collapsed="false">
      <c r="A24" s="15" t="s">
        <v>132</v>
      </c>
      <c r="B24" s="16" t="s">
        <v>116</v>
      </c>
      <c r="C24" s="16" t="s">
        <v>116</v>
      </c>
      <c r="D24" s="17" t="s">
        <v>116</v>
      </c>
      <c r="E24" s="16" t="s">
        <v>116</v>
      </c>
      <c r="F24" s="16"/>
      <c r="G24" s="16"/>
    </row>
    <row r="25" customFormat="false" ht="22.5" hidden="false" customHeight="true" outlineLevel="0" collapsed="false">
      <c r="A25" s="18" t="s">
        <v>133</v>
      </c>
      <c r="B25" s="19" t="s">
        <v>134</v>
      </c>
      <c r="C25" s="19" t="s">
        <v>135</v>
      </c>
      <c r="D25" s="19" t="s">
        <v>136</v>
      </c>
      <c r="E25" s="19" t="s">
        <v>11</v>
      </c>
      <c r="F25" s="19"/>
      <c r="G25" s="19" t="s">
        <v>74</v>
      </c>
    </row>
    <row r="26" customFormat="false" ht="22.5" hidden="false" customHeight="true" outlineLevel="0" collapsed="false">
      <c r="A26" s="18" t="s">
        <v>137</v>
      </c>
      <c r="B26" s="19" t="s">
        <v>138</v>
      </c>
      <c r="C26" s="19" t="s">
        <v>139</v>
      </c>
      <c r="D26" s="19" t="s">
        <v>140</v>
      </c>
      <c r="E26" s="19" t="s">
        <v>11</v>
      </c>
      <c r="F26" s="19"/>
      <c r="G26" s="19" t="s">
        <v>74</v>
      </c>
    </row>
    <row r="27" customFormat="false" ht="22.5" hidden="false" customHeight="true" outlineLevel="0" collapsed="false">
      <c r="A27" s="18" t="s">
        <v>141</v>
      </c>
      <c r="B27" s="19" t="s">
        <v>142</v>
      </c>
      <c r="C27" s="19" t="s">
        <v>143</v>
      </c>
      <c r="D27" s="19" t="s">
        <v>144</v>
      </c>
      <c r="E27" s="19" t="s">
        <v>11</v>
      </c>
      <c r="F27" s="19"/>
      <c r="G27" s="19" t="s">
        <v>74</v>
      </c>
    </row>
    <row r="28" customFormat="false" ht="22.5" hidden="true" customHeight="true" outlineLevel="0" collapsed="false">
      <c r="A28" s="15" t="s">
        <v>145</v>
      </c>
      <c r="B28" s="16" t="s">
        <v>146</v>
      </c>
      <c r="C28" s="16" t="s">
        <v>147</v>
      </c>
      <c r="D28" s="16" t="s">
        <v>148</v>
      </c>
      <c r="E28" s="16" t="s">
        <v>11</v>
      </c>
      <c r="F28" s="16"/>
      <c r="G28" s="16" t="s">
        <v>69</v>
      </c>
    </row>
    <row r="29" customFormat="false" ht="22.5" hidden="false" customHeight="true" outlineLevel="0" collapsed="false">
      <c r="A29" s="18" t="s">
        <v>149</v>
      </c>
      <c r="B29" s="19" t="s">
        <v>150</v>
      </c>
      <c r="C29" s="19" t="s">
        <v>151</v>
      </c>
      <c r="D29" s="19" t="s">
        <v>152</v>
      </c>
      <c r="E29" s="19" t="s">
        <v>11</v>
      </c>
      <c r="F29" s="19"/>
      <c r="G29" s="19" t="s">
        <v>74</v>
      </c>
    </row>
    <row r="30" customFormat="false" ht="22.5" hidden="false" customHeight="true" outlineLevel="0" collapsed="false">
      <c r="A30" s="18" t="s">
        <v>153</v>
      </c>
      <c r="B30" s="19" t="s">
        <v>154</v>
      </c>
      <c r="C30" s="19" t="s">
        <v>155</v>
      </c>
      <c r="D30" s="19" t="s">
        <v>156</v>
      </c>
      <c r="E30" s="19" t="s">
        <v>11</v>
      </c>
      <c r="F30" s="19"/>
      <c r="G30" s="19" t="s">
        <v>74</v>
      </c>
    </row>
    <row r="31" customFormat="false" ht="22.5" hidden="false" customHeight="true" outlineLevel="0" collapsed="false">
      <c r="A31" s="18" t="s">
        <v>157</v>
      </c>
      <c r="B31" s="19" t="s">
        <v>158</v>
      </c>
      <c r="C31" s="19" t="s">
        <v>159</v>
      </c>
      <c r="D31" s="19" t="s">
        <v>160</v>
      </c>
      <c r="E31" s="19" t="s">
        <v>11</v>
      </c>
      <c r="F31" s="19"/>
      <c r="G31" s="19" t="s">
        <v>74</v>
      </c>
    </row>
    <row r="32" customFormat="false" ht="22.5" hidden="false" customHeight="true" outlineLevel="0" collapsed="false">
      <c r="A32" s="18" t="s">
        <v>161</v>
      </c>
      <c r="B32" s="19" t="s">
        <v>162</v>
      </c>
      <c r="C32" s="19" t="s">
        <v>163</v>
      </c>
      <c r="D32" s="19" t="s">
        <v>164</v>
      </c>
      <c r="E32" s="19" t="s">
        <v>11</v>
      </c>
      <c r="F32" s="19"/>
      <c r="G32" s="19" t="s">
        <v>74</v>
      </c>
    </row>
    <row r="33" customFormat="false" ht="22.5" hidden="true" customHeight="true" outlineLevel="0" collapsed="false">
      <c r="A33" s="15" t="s">
        <v>165</v>
      </c>
      <c r="B33" s="16" t="s">
        <v>116</v>
      </c>
      <c r="C33" s="16" t="s">
        <v>116</v>
      </c>
      <c r="D33" s="17" t="s">
        <v>116</v>
      </c>
      <c r="E33" s="16" t="s">
        <v>116</v>
      </c>
      <c r="F33" s="16"/>
      <c r="G33" s="16"/>
    </row>
    <row r="34" customFormat="false" ht="22.5" hidden="false" customHeight="true" outlineLevel="0" collapsed="false">
      <c r="A34" s="18" t="s">
        <v>166</v>
      </c>
      <c r="B34" s="19" t="s">
        <v>167</v>
      </c>
      <c r="C34" s="19" t="s">
        <v>168</v>
      </c>
      <c r="D34" s="19" t="s">
        <v>169</v>
      </c>
      <c r="E34" s="19" t="s">
        <v>11</v>
      </c>
      <c r="F34" s="19"/>
      <c r="G34" s="19" t="s">
        <v>74</v>
      </c>
    </row>
    <row r="35" customFormat="false" ht="22.5" hidden="false" customHeight="true" outlineLevel="0" collapsed="false">
      <c r="A35" s="18" t="s">
        <v>170</v>
      </c>
      <c r="B35" s="19" t="s">
        <v>171</v>
      </c>
      <c r="C35" s="19" t="s">
        <v>172</v>
      </c>
      <c r="D35" s="19" t="s">
        <v>173</v>
      </c>
      <c r="E35" s="19" t="s">
        <v>11</v>
      </c>
      <c r="F35" s="19"/>
      <c r="G35" s="19" t="s">
        <v>74</v>
      </c>
    </row>
    <row r="36" customFormat="false" ht="22.5" hidden="true" customHeight="true" outlineLevel="0" collapsed="false">
      <c r="A36" s="15" t="s">
        <v>174</v>
      </c>
      <c r="B36" s="16" t="s">
        <v>116</v>
      </c>
      <c r="C36" s="16" t="s">
        <v>116</v>
      </c>
      <c r="D36" s="17" t="s">
        <v>116</v>
      </c>
      <c r="E36" s="16" t="s">
        <v>116</v>
      </c>
      <c r="F36" s="16"/>
      <c r="G36" s="16"/>
    </row>
    <row r="37" customFormat="false" ht="22.5" hidden="true" customHeight="true" outlineLevel="0" collapsed="false">
      <c r="A37" s="15" t="s">
        <v>175</v>
      </c>
      <c r="B37" s="16" t="s">
        <v>176</v>
      </c>
      <c r="C37" s="16" t="s">
        <v>116</v>
      </c>
      <c r="D37" s="17" t="s">
        <v>177</v>
      </c>
      <c r="E37" s="16" t="s">
        <v>11</v>
      </c>
      <c r="F37" s="16"/>
      <c r="G37" s="16"/>
    </row>
    <row r="38" customFormat="false" ht="22.5" hidden="true" customHeight="true" outlineLevel="0" collapsed="false">
      <c r="A38" s="15" t="s">
        <v>178</v>
      </c>
      <c r="B38" s="16" t="s">
        <v>116</v>
      </c>
      <c r="C38" s="16" t="s">
        <v>116</v>
      </c>
      <c r="D38" s="17" t="s">
        <v>116</v>
      </c>
      <c r="E38" s="16" t="s">
        <v>116</v>
      </c>
      <c r="F38" s="16"/>
      <c r="G38" s="16"/>
    </row>
    <row r="39" customFormat="false" ht="22.5" hidden="true" customHeight="true" outlineLevel="0" collapsed="false">
      <c r="A39" s="15" t="s">
        <v>179</v>
      </c>
      <c r="B39" s="16" t="s">
        <v>116</v>
      </c>
      <c r="C39" s="16" t="s">
        <v>116</v>
      </c>
      <c r="D39" s="17" t="s">
        <v>116</v>
      </c>
      <c r="E39" s="16" t="s">
        <v>116</v>
      </c>
      <c r="F39" s="16"/>
      <c r="G39" s="16"/>
    </row>
    <row r="40" customFormat="false" ht="22.5" hidden="false" customHeight="true" outlineLevel="0" collapsed="false">
      <c r="A40" s="18" t="s">
        <v>180</v>
      </c>
      <c r="B40" s="19" t="s">
        <v>181</v>
      </c>
      <c r="C40" s="19" t="s">
        <v>182</v>
      </c>
      <c r="D40" s="19" t="s">
        <v>25</v>
      </c>
      <c r="E40" s="19" t="s">
        <v>11</v>
      </c>
      <c r="F40" s="19"/>
      <c r="G40" s="19" t="s">
        <v>74</v>
      </c>
    </row>
    <row r="41" customFormat="false" ht="22.5" hidden="true" customHeight="true" outlineLevel="0" collapsed="false">
      <c r="A41" s="15" t="s">
        <v>183</v>
      </c>
      <c r="B41" s="16" t="s">
        <v>116</v>
      </c>
      <c r="C41" s="16" t="s">
        <v>116</v>
      </c>
      <c r="D41" s="17" t="s">
        <v>116</v>
      </c>
      <c r="E41" s="16" t="s">
        <v>116</v>
      </c>
      <c r="F41" s="16"/>
      <c r="G41" s="16"/>
    </row>
    <row r="42" customFormat="false" ht="22.5" hidden="true" customHeight="true" outlineLevel="0" collapsed="false">
      <c r="A42" s="15" t="s">
        <v>184</v>
      </c>
      <c r="B42" s="16" t="s">
        <v>116</v>
      </c>
      <c r="C42" s="16" t="s">
        <v>116</v>
      </c>
      <c r="D42" s="17" t="s">
        <v>116</v>
      </c>
      <c r="E42" s="16" t="s">
        <v>116</v>
      </c>
      <c r="F42" s="16"/>
      <c r="G42" s="16"/>
    </row>
    <row r="43" customFormat="false" ht="22.5" hidden="false" customHeight="true" outlineLevel="0" collapsed="false">
      <c r="A43" s="18" t="s">
        <v>185</v>
      </c>
      <c r="B43" s="19" t="s">
        <v>186</v>
      </c>
      <c r="C43" s="19" t="s">
        <v>187</v>
      </c>
      <c r="D43" s="20" t="n">
        <v>192168240249</v>
      </c>
      <c r="E43" s="19" t="s">
        <v>11</v>
      </c>
      <c r="F43" s="19"/>
      <c r="G43" s="19" t="s">
        <v>74</v>
      </c>
    </row>
    <row r="44" customFormat="false" ht="22.5" hidden="true" customHeight="true" outlineLevel="0" collapsed="false">
      <c r="A44" s="15" t="s">
        <v>188</v>
      </c>
      <c r="B44" s="16" t="s">
        <v>116</v>
      </c>
      <c r="C44" s="16" t="s">
        <v>116</v>
      </c>
      <c r="D44" s="17" t="s">
        <v>116</v>
      </c>
      <c r="E44" s="16" t="s">
        <v>116</v>
      </c>
      <c r="F44" s="16"/>
      <c r="G44" s="16"/>
    </row>
    <row r="45" customFormat="false" ht="22.5" hidden="true" customHeight="true" outlineLevel="0" collapsed="false">
      <c r="A45" s="15" t="s">
        <v>189</v>
      </c>
      <c r="B45" s="16" t="s">
        <v>116</v>
      </c>
      <c r="C45" s="16" t="s">
        <v>116</v>
      </c>
      <c r="D45" s="17" t="s">
        <v>116</v>
      </c>
      <c r="E45" s="16" t="s">
        <v>116</v>
      </c>
      <c r="F45" s="16"/>
      <c r="G45" s="16"/>
    </row>
    <row r="46" customFormat="false" ht="22.5" hidden="false" customHeight="true" outlineLevel="0" collapsed="false">
      <c r="A46" s="18" t="s">
        <v>190</v>
      </c>
      <c r="B46" s="19" t="s">
        <v>191</v>
      </c>
      <c r="C46" s="19" t="s">
        <v>192</v>
      </c>
      <c r="D46" s="19" t="s">
        <v>193</v>
      </c>
      <c r="E46" s="19" t="s">
        <v>11</v>
      </c>
      <c r="F46" s="19"/>
      <c r="G46" s="19" t="s">
        <v>74</v>
      </c>
    </row>
    <row r="47" customFormat="false" ht="22.5" hidden="false" customHeight="true" outlineLevel="0" collapsed="false">
      <c r="A47" s="18" t="s">
        <v>194</v>
      </c>
      <c r="B47" s="19" t="s">
        <v>195</v>
      </c>
      <c r="C47" s="19" t="s">
        <v>196</v>
      </c>
      <c r="D47" s="19" t="s">
        <v>197</v>
      </c>
      <c r="E47" s="19" t="s">
        <v>11</v>
      </c>
      <c r="F47" s="19"/>
      <c r="G47" s="19" t="s">
        <v>74</v>
      </c>
    </row>
    <row r="48" customFormat="false" ht="22.5" hidden="false" customHeight="true" outlineLevel="0" collapsed="false">
      <c r="A48" s="18" t="s">
        <v>198</v>
      </c>
      <c r="B48" s="19" t="s">
        <v>199</v>
      </c>
      <c r="C48" s="19" t="s">
        <v>200</v>
      </c>
      <c r="D48" s="19" t="s">
        <v>201</v>
      </c>
      <c r="E48" s="19" t="s">
        <v>11</v>
      </c>
      <c r="F48" s="19"/>
      <c r="G48" s="19" t="s">
        <v>74</v>
      </c>
    </row>
    <row r="49" customFormat="false" ht="22.5" hidden="false" customHeight="true" outlineLevel="0" collapsed="false">
      <c r="A49" s="18" t="s">
        <v>202</v>
      </c>
      <c r="B49" s="19" t="s">
        <v>203</v>
      </c>
      <c r="C49" s="19" t="s">
        <v>204</v>
      </c>
      <c r="D49" s="19" t="s">
        <v>205</v>
      </c>
      <c r="E49" s="19" t="s">
        <v>11</v>
      </c>
      <c r="F49" s="19"/>
      <c r="G49" s="19" t="s">
        <v>74</v>
      </c>
    </row>
    <row r="50" customFormat="false" ht="22.5" hidden="false" customHeight="true" outlineLevel="0" collapsed="false">
      <c r="A50" s="18" t="s">
        <v>206</v>
      </c>
      <c r="B50" s="19" t="s">
        <v>207</v>
      </c>
      <c r="C50" s="19" t="s">
        <v>208</v>
      </c>
      <c r="D50" s="19" t="s">
        <v>209</v>
      </c>
      <c r="E50" s="19" t="s">
        <v>11</v>
      </c>
      <c r="F50" s="19"/>
      <c r="G50" s="19" t="s">
        <v>74</v>
      </c>
    </row>
    <row r="51" customFormat="false" ht="22.5" hidden="true" customHeight="true" outlineLevel="0" collapsed="false">
      <c r="A51" s="15" t="s">
        <v>210</v>
      </c>
      <c r="B51" s="16" t="s">
        <v>211</v>
      </c>
      <c r="C51" s="16" t="s">
        <v>212</v>
      </c>
      <c r="D51" s="16" t="s">
        <v>213</v>
      </c>
      <c r="E51" s="16" t="s">
        <v>11</v>
      </c>
      <c r="F51" s="16"/>
      <c r="G51" s="16" t="s">
        <v>69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5.89"/>
    <col collapsed="false" customWidth="true" hidden="false" outlineLevel="0" max="3" min="3" style="1" width="32.63"/>
    <col collapsed="false" customWidth="true" hidden="false" outlineLevel="0" max="4" min="4" style="1" width="14.75"/>
    <col collapsed="false" customWidth="true" hidden="false" outlineLevel="0" max="5" min="5" style="1" width="9.13"/>
    <col collapsed="false" customWidth="true" hidden="false" outlineLevel="0" max="6" min="6" style="1" width="22.63"/>
    <col collapsed="false" customWidth="true" hidden="false" outlineLevel="0" max="7" min="7" style="1" width="24.88"/>
  </cols>
  <sheetData>
    <row r="1" customFormat="false" ht="22.5" hidden="false" customHeight="true" outlineLevel="0" collapsed="false">
      <c r="A1" s="2" t="s">
        <v>65</v>
      </c>
      <c r="B1" s="3" t="s">
        <v>1</v>
      </c>
      <c r="C1" s="3" t="s">
        <v>2</v>
      </c>
      <c r="D1" s="3" t="s">
        <v>3</v>
      </c>
      <c r="E1" s="3" t="s">
        <v>4</v>
      </c>
      <c r="F1" s="3" t="s">
        <v>5</v>
      </c>
      <c r="G1" s="4" t="s">
        <v>6</v>
      </c>
    </row>
    <row r="2" customFormat="false" ht="22.5" hidden="false" customHeight="true" outlineLevel="0" collapsed="false">
      <c r="A2" s="19" t="s">
        <v>66</v>
      </c>
      <c r="B2" s="19" t="s">
        <v>67</v>
      </c>
      <c r="C2" s="19" t="s">
        <v>68</v>
      </c>
      <c r="D2" s="19" t="s">
        <v>214</v>
      </c>
      <c r="E2" s="19" t="s">
        <v>11</v>
      </c>
      <c r="F2" s="19"/>
      <c r="G2" s="19" t="s">
        <v>215</v>
      </c>
    </row>
    <row r="3" customFormat="false" ht="22.5" hidden="false" customHeight="true" outlineLevel="0" collapsed="false">
      <c r="A3" s="19" t="s">
        <v>70</v>
      </c>
      <c r="B3" s="19" t="s">
        <v>71</v>
      </c>
      <c r="C3" s="19" t="s">
        <v>72</v>
      </c>
      <c r="D3" s="19" t="s">
        <v>73</v>
      </c>
      <c r="E3" s="19" t="s">
        <v>11</v>
      </c>
      <c r="F3" s="19"/>
      <c r="G3" s="19" t="s">
        <v>215</v>
      </c>
    </row>
    <row r="4" customFormat="false" ht="22.5" hidden="false" customHeight="true" outlineLevel="0" collapsed="false">
      <c r="A4" s="19" t="s">
        <v>75</v>
      </c>
      <c r="B4" s="19" t="s">
        <v>76</v>
      </c>
      <c r="C4" s="19" t="s">
        <v>216</v>
      </c>
      <c r="D4" s="20" t="s">
        <v>78</v>
      </c>
      <c r="E4" s="19" t="s">
        <v>11</v>
      </c>
      <c r="F4" s="19"/>
      <c r="G4" s="19" t="s">
        <v>215</v>
      </c>
    </row>
    <row r="5" customFormat="false" ht="22.5" hidden="true" customHeight="true" outlineLevel="0" collapsed="false">
      <c r="A5" s="16" t="s">
        <v>83</v>
      </c>
      <c r="B5" s="16" t="s">
        <v>84</v>
      </c>
      <c r="C5" s="16" t="s">
        <v>85</v>
      </c>
      <c r="D5" s="16" t="s">
        <v>217</v>
      </c>
      <c r="E5" s="16" t="s">
        <v>11</v>
      </c>
      <c r="F5" s="16"/>
      <c r="G5" s="16" t="s">
        <v>218</v>
      </c>
    </row>
    <row r="6" customFormat="false" ht="22.5" hidden="false" customHeight="true" outlineLevel="0" collapsed="false">
      <c r="A6" s="19" t="s">
        <v>87</v>
      </c>
      <c r="B6" s="19" t="s">
        <v>219</v>
      </c>
      <c r="C6" s="19" t="s">
        <v>220</v>
      </c>
      <c r="D6" s="19" t="s">
        <v>221</v>
      </c>
      <c r="E6" s="19" t="s">
        <v>11</v>
      </c>
      <c r="F6" s="19"/>
      <c r="G6" s="19" t="s">
        <v>215</v>
      </c>
    </row>
    <row r="7" customFormat="false" ht="22.5" hidden="false" customHeight="true" outlineLevel="0" collapsed="false">
      <c r="A7" s="19" t="s">
        <v>88</v>
      </c>
      <c r="B7" s="19" t="s">
        <v>89</v>
      </c>
      <c r="C7" s="19" t="s">
        <v>90</v>
      </c>
      <c r="D7" s="19" t="s">
        <v>222</v>
      </c>
      <c r="E7" s="19" t="s">
        <v>11</v>
      </c>
      <c r="F7" s="19"/>
      <c r="G7" s="19" t="s">
        <v>215</v>
      </c>
    </row>
    <row r="8" customFormat="false" ht="22.5" hidden="false" customHeight="true" outlineLevel="0" collapsed="false">
      <c r="A8" s="19" t="s">
        <v>223</v>
      </c>
      <c r="B8" s="19" t="s">
        <v>100</v>
      </c>
      <c r="C8" s="19" t="s">
        <v>101</v>
      </c>
      <c r="D8" s="20" t="n">
        <v>192168240176</v>
      </c>
      <c r="E8" s="19" t="s">
        <v>11</v>
      </c>
      <c r="F8" s="19"/>
      <c r="G8" s="19" t="s">
        <v>215</v>
      </c>
    </row>
    <row r="9" customFormat="false" ht="22.5" hidden="false" customHeight="true" outlineLevel="0" collapsed="false">
      <c r="A9" s="19" t="s">
        <v>224</v>
      </c>
      <c r="B9" s="19" t="s">
        <v>225</v>
      </c>
      <c r="C9" s="19" t="s">
        <v>226</v>
      </c>
      <c r="D9" s="19" t="s">
        <v>227</v>
      </c>
      <c r="E9" s="19" t="s">
        <v>11</v>
      </c>
      <c r="F9" s="19"/>
      <c r="G9" s="19" t="s">
        <v>215</v>
      </c>
    </row>
    <row r="10" customFormat="false" ht="22.5" hidden="true" customHeight="true" outlineLevel="0" collapsed="false">
      <c r="A10" s="16" t="s">
        <v>228</v>
      </c>
      <c r="B10" s="16" t="s">
        <v>229</v>
      </c>
      <c r="C10" s="16" t="s">
        <v>230</v>
      </c>
      <c r="D10" s="16" t="s">
        <v>231</v>
      </c>
      <c r="E10" s="16" t="s">
        <v>11</v>
      </c>
      <c r="F10" s="16"/>
      <c r="G10" s="16" t="s">
        <v>69</v>
      </c>
    </row>
    <row r="11" customFormat="false" ht="22.5" hidden="true" customHeight="true" outlineLevel="0" collapsed="false">
      <c r="A11" s="16" t="s">
        <v>175</v>
      </c>
      <c r="B11" s="16" t="s">
        <v>176</v>
      </c>
      <c r="C11" s="16" t="s">
        <v>232</v>
      </c>
      <c r="D11" s="17" t="s">
        <v>177</v>
      </c>
      <c r="E11" s="16" t="s">
        <v>11</v>
      </c>
      <c r="F11" s="16"/>
      <c r="G11" s="16" t="s">
        <v>69</v>
      </c>
    </row>
    <row r="12" customFormat="false" ht="22.5" hidden="false" customHeight="true" outlineLevel="0" collapsed="false">
      <c r="A12" s="19" t="s">
        <v>233</v>
      </c>
      <c r="B12" s="19" t="s">
        <v>234</v>
      </c>
      <c r="C12" s="19" t="s">
        <v>235</v>
      </c>
      <c r="D12" s="19" t="s">
        <v>236</v>
      </c>
      <c r="E12" s="19" t="s">
        <v>11</v>
      </c>
      <c r="F12" s="19"/>
      <c r="G12" s="19" t="s">
        <v>215</v>
      </c>
    </row>
    <row r="13" customFormat="false" ht="22.5" hidden="false" customHeight="true" outlineLevel="0" collapsed="false">
      <c r="A13" s="19" t="s">
        <v>237</v>
      </c>
      <c r="B13" s="19" t="s">
        <v>238</v>
      </c>
      <c r="C13" s="19" t="s">
        <v>239</v>
      </c>
      <c r="D13" s="19" t="s">
        <v>240</v>
      </c>
      <c r="E13" s="19" t="s">
        <v>11</v>
      </c>
      <c r="F13" s="19"/>
      <c r="G13" s="19" t="s">
        <v>215</v>
      </c>
    </row>
    <row r="14" customFormat="false" ht="22.5" hidden="false" customHeight="true" outlineLevel="0" collapsed="false">
      <c r="A14" s="19" t="s">
        <v>241</v>
      </c>
      <c r="B14" s="19" t="s">
        <v>242</v>
      </c>
      <c r="C14" s="19" t="s">
        <v>243</v>
      </c>
      <c r="D14" s="19" t="s">
        <v>244</v>
      </c>
      <c r="E14" s="19" t="s">
        <v>11</v>
      </c>
      <c r="F14" s="19"/>
      <c r="G14" s="19" t="s">
        <v>215</v>
      </c>
    </row>
    <row r="15" customFormat="false" ht="22.5" hidden="false" customHeight="true" outlineLevel="0" collapsed="false">
      <c r="A15" s="19" t="s">
        <v>245</v>
      </c>
      <c r="B15" s="19" t="s">
        <v>246</v>
      </c>
      <c r="C15" s="19" t="s">
        <v>247</v>
      </c>
      <c r="D15" s="19" t="s">
        <v>248</v>
      </c>
      <c r="E15" s="19" t="s">
        <v>11</v>
      </c>
      <c r="F15" s="19"/>
      <c r="G15" s="19" t="s">
        <v>215</v>
      </c>
    </row>
    <row r="16" customFormat="false" ht="22.5" hidden="false" customHeight="true" outlineLevel="0" collapsed="false">
      <c r="A16" s="19" t="s">
        <v>249</v>
      </c>
      <c r="B16" s="19" t="s">
        <v>250</v>
      </c>
      <c r="C16" s="19" t="s">
        <v>251</v>
      </c>
      <c r="D16" s="19" t="s">
        <v>131</v>
      </c>
      <c r="E16" s="19" t="s">
        <v>11</v>
      </c>
      <c r="F16" s="19"/>
      <c r="G16" s="19" t="s">
        <v>215</v>
      </c>
    </row>
    <row r="17" customFormat="false" ht="22.5" hidden="true" customHeight="true" outlineLevel="0" collapsed="false">
      <c r="A17" s="16" t="s">
        <v>145</v>
      </c>
      <c r="B17" s="16" t="s">
        <v>146</v>
      </c>
      <c r="C17" s="16" t="s">
        <v>147</v>
      </c>
      <c r="D17" s="16" t="s">
        <v>148</v>
      </c>
      <c r="E17" s="16" t="s">
        <v>11</v>
      </c>
      <c r="F17" s="16"/>
      <c r="G17" s="16" t="s">
        <v>69</v>
      </c>
    </row>
    <row r="18" customFormat="false" ht="22.5" hidden="false" customHeight="true" outlineLevel="0" collapsed="false">
      <c r="A18" s="19" t="s">
        <v>252</v>
      </c>
      <c r="B18" s="19" t="s">
        <v>253</v>
      </c>
      <c r="C18" s="19" t="s">
        <v>254</v>
      </c>
      <c r="D18" s="19" t="s">
        <v>255</v>
      </c>
      <c r="E18" s="19" t="s">
        <v>11</v>
      </c>
      <c r="F18" s="19"/>
      <c r="G18" s="19" t="s">
        <v>215</v>
      </c>
    </row>
    <row r="19" customFormat="false" ht="22.5" hidden="false" customHeight="true" outlineLevel="0" collapsed="false">
      <c r="A19" s="19" t="s">
        <v>256</v>
      </c>
      <c r="B19" s="19" t="s">
        <v>257</v>
      </c>
      <c r="C19" s="19" t="s">
        <v>258</v>
      </c>
      <c r="D19" s="19" t="s">
        <v>259</v>
      </c>
      <c r="E19" s="19" t="s">
        <v>11</v>
      </c>
      <c r="F19" s="19"/>
      <c r="G19" s="19" t="s">
        <v>215</v>
      </c>
    </row>
    <row r="20" customFormat="false" ht="22.5" hidden="false" customHeight="true" outlineLevel="0" collapsed="false">
      <c r="A20" s="19" t="s">
        <v>260</v>
      </c>
      <c r="B20" s="19" t="s">
        <v>261</v>
      </c>
      <c r="C20" s="19" t="s">
        <v>262</v>
      </c>
      <c r="D20" s="19" t="s">
        <v>263</v>
      </c>
      <c r="E20" s="19" t="s">
        <v>11</v>
      </c>
      <c r="F20" s="19"/>
      <c r="G20" s="19" t="s">
        <v>215</v>
      </c>
    </row>
    <row r="21" customFormat="false" ht="22.5" hidden="false" customHeight="true" outlineLevel="0" collapsed="false">
      <c r="A21" s="19" t="s">
        <v>264</v>
      </c>
      <c r="B21" s="19" t="s">
        <v>265</v>
      </c>
      <c r="C21" s="19" t="s">
        <v>266</v>
      </c>
      <c r="D21" s="20" t="n">
        <v>192168240118</v>
      </c>
      <c r="E21" s="19" t="s">
        <v>11</v>
      </c>
      <c r="F21" s="19"/>
      <c r="G21" s="19" t="s">
        <v>215</v>
      </c>
    </row>
    <row r="22" customFormat="false" ht="22.5" hidden="false" customHeight="true" outlineLevel="0" collapsed="false">
      <c r="A22" s="19" t="s">
        <v>267</v>
      </c>
      <c r="B22" s="19" t="s">
        <v>268</v>
      </c>
      <c r="C22" s="19" t="s">
        <v>269</v>
      </c>
      <c r="D22" s="20" t="n">
        <v>192168240223</v>
      </c>
      <c r="E22" s="19" t="s">
        <v>11</v>
      </c>
      <c r="F22" s="19"/>
      <c r="G22" s="19" t="s">
        <v>215</v>
      </c>
    </row>
    <row r="23" customFormat="false" ht="22.5" hidden="false" customHeight="true" outlineLevel="0" collapsed="false">
      <c r="A23" s="19" t="s">
        <v>270</v>
      </c>
      <c r="B23" s="19" t="s">
        <v>271</v>
      </c>
      <c r="C23" s="19" t="s">
        <v>272</v>
      </c>
      <c r="D23" s="19" t="s">
        <v>273</v>
      </c>
      <c r="E23" s="19" t="s">
        <v>11</v>
      </c>
      <c r="F23" s="19"/>
      <c r="G23" s="19" t="s">
        <v>215</v>
      </c>
    </row>
    <row r="24" customFormat="false" ht="22.5" hidden="false" customHeight="true" outlineLevel="0" collapsed="false">
      <c r="A24" s="19" t="s">
        <v>274</v>
      </c>
      <c r="B24" s="19" t="s">
        <v>275</v>
      </c>
      <c r="C24" s="19" t="s">
        <v>276</v>
      </c>
      <c r="D24" s="19" t="s">
        <v>277</v>
      </c>
      <c r="E24" s="19" t="s">
        <v>11</v>
      </c>
      <c r="F24" s="19"/>
      <c r="G24" s="19" t="s">
        <v>215</v>
      </c>
    </row>
    <row r="25" customFormat="false" ht="22.5" hidden="false" customHeight="true" outlineLevel="0" collapsed="false">
      <c r="A25" s="19" t="s">
        <v>278</v>
      </c>
      <c r="B25" s="19" t="s">
        <v>279</v>
      </c>
      <c r="C25" s="19" t="s">
        <v>280</v>
      </c>
      <c r="D25" s="19" t="s">
        <v>281</v>
      </c>
      <c r="E25" s="19" t="s">
        <v>11</v>
      </c>
      <c r="F25" s="19"/>
      <c r="G25" s="19" t="s">
        <v>215</v>
      </c>
    </row>
    <row r="26" customFormat="false" ht="22.5" hidden="false" customHeight="true" outlineLevel="0" collapsed="false">
      <c r="A26" s="19" t="s">
        <v>210</v>
      </c>
      <c r="B26" s="19" t="s">
        <v>211</v>
      </c>
      <c r="C26" s="19" t="s">
        <v>282</v>
      </c>
      <c r="D26" s="19" t="s">
        <v>283</v>
      </c>
      <c r="E26" s="19" t="s">
        <v>11</v>
      </c>
      <c r="F26" s="19"/>
      <c r="G26" s="19" t="s">
        <v>215</v>
      </c>
    </row>
    <row r="27" customFormat="false" ht="22.5" hidden="true" customHeight="true" outlineLevel="0" collapsed="false">
      <c r="A27" s="16" t="s">
        <v>284</v>
      </c>
      <c r="B27" s="16" t="s">
        <v>285</v>
      </c>
      <c r="C27" s="16" t="s">
        <v>285</v>
      </c>
      <c r="D27" s="16" t="s">
        <v>285</v>
      </c>
      <c r="E27" s="16" t="s">
        <v>285</v>
      </c>
      <c r="F27" s="16"/>
      <c r="G27" s="16"/>
    </row>
    <row r="28" customFormat="false" ht="22.5" hidden="true" customHeight="true" outlineLevel="0" collapsed="false">
      <c r="A28" s="16" t="s">
        <v>286</v>
      </c>
      <c r="B28" s="16" t="s">
        <v>287</v>
      </c>
      <c r="C28" s="16" t="s">
        <v>288</v>
      </c>
      <c r="D28" s="16" t="s">
        <v>289</v>
      </c>
      <c r="E28" s="16" t="s">
        <v>11</v>
      </c>
      <c r="F28" s="16"/>
      <c r="G28" s="16" t="s">
        <v>290</v>
      </c>
    </row>
    <row r="29" customFormat="false" ht="22.5" hidden="true" customHeight="true" outlineLevel="0" collapsed="false">
      <c r="A29" s="16" t="s">
        <v>291</v>
      </c>
      <c r="B29" s="16" t="s">
        <v>292</v>
      </c>
      <c r="C29" s="16" t="s">
        <v>293</v>
      </c>
      <c r="D29" s="16" t="s">
        <v>294</v>
      </c>
      <c r="E29" s="16" t="s">
        <v>11</v>
      </c>
      <c r="F29" s="16"/>
      <c r="G29" s="16" t="s">
        <v>290</v>
      </c>
    </row>
    <row r="30" customFormat="false" ht="22.5" hidden="true" customHeight="true" outlineLevel="0" collapsed="false">
      <c r="A30" s="16" t="s">
        <v>295</v>
      </c>
      <c r="B30" s="16" t="s">
        <v>296</v>
      </c>
      <c r="C30" s="16" t="s">
        <v>297</v>
      </c>
      <c r="D30" s="16" t="s">
        <v>298</v>
      </c>
      <c r="E30" s="16" t="s">
        <v>11</v>
      </c>
      <c r="F30" s="16"/>
      <c r="G30" s="16" t="s">
        <v>290</v>
      </c>
    </row>
    <row r="31" customFormat="false" ht="22.5" hidden="false" customHeight="true" outlineLevel="0" collapsed="false">
      <c r="A31" s="19" t="s">
        <v>299</v>
      </c>
      <c r="B31" s="19" t="s">
        <v>300</v>
      </c>
      <c r="C31" s="19" t="s">
        <v>301</v>
      </c>
      <c r="D31" s="19" t="s">
        <v>302</v>
      </c>
      <c r="E31" s="19" t="s">
        <v>11</v>
      </c>
      <c r="F31" s="19"/>
      <c r="G31" s="19" t="s">
        <v>215</v>
      </c>
    </row>
    <row r="32" customFormat="false" ht="22.5" hidden="false" customHeight="true" outlineLevel="0" collapsed="false">
      <c r="A32" s="19" t="s">
        <v>303</v>
      </c>
      <c r="B32" s="19" t="s">
        <v>304</v>
      </c>
      <c r="C32" s="19" t="s">
        <v>305</v>
      </c>
      <c r="D32" s="19" t="s">
        <v>306</v>
      </c>
      <c r="E32" s="19" t="s">
        <v>11</v>
      </c>
      <c r="F32" s="19"/>
      <c r="G32" s="19" t="s">
        <v>215</v>
      </c>
    </row>
    <row r="33" customFormat="false" ht="22.5" hidden="true" customHeight="true" outlineLevel="0" collapsed="false">
      <c r="A33" s="16" t="s">
        <v>30</v>
      </c>
      <c r="B33" s="16" t="s">
        <v>307</v>
      </c>
      <c r="C33" s="16" t="s">
        <v>308</v>
      </c>
      <c r="D33" s="16" t="s">
        <v>309</v>
      </c>
      <c r="E33" s="16" t="s">
        <v>11</v>
      </c>
      <c r="F33" s="16"/>
      <c r="G33" s="16" t="s">
        <v>290</v>
      </c>
    </row>
    <row r="34" customFormat="false" ht="22.5" hidden="true" customHeight="true" outlineLevel="0" collapsed="false">
      <c r="A34" s="16" t="s">
        <v>310</v>
      </c>
      <c r="B34" s="16" t="s">
        <v>311</v>
      </c>
      <c r="C34" s="16" t="s">
        <v>312</v>
      </c>
      <c r="D34" s="16" t="s">
        <v>313</v>
      </c>
      <c r="E34" s="16" t="s">
        <v>11</v>
      </c>
      <c r="F34" s="16"/>
      <c r="G34" s="16" t="s">
        <v>69</v>
      </c>
    </row>
    <row r="35" customFormat="false" ht="22.5" hidden="true" customHeight="true" outlineLevel="0" collapsed="false">
      <c r="A35" s="16" t="s">
        <v>314</v>
      </c>
      <c r="B35" s="16" t="s">
        <v>315</v>
      </c>
      <c r="C35" s="16" t="s">
        <v>316</v>
      </c>
      <c r="D35" s="16" t="s">
        <v>86</v>
      </c>
      <c r="E35" s="16" t="s">
        <v>11</v>
      </c>
      <c r="F35" s="16"/>
      <c r="G35" s="16" t="s">
        <v>290</v>
      </c>
    </row>
    <row r="36" customFormat="false" ht="22.5" hidden="true" customHeight="true" outlineLevel="0" collapsed="false">
      <c r="A36" s="16" t="s">
        <v>317</v>
      </c>
      <c r="B36" s="16" t="s">
        <v>318</v>
      </c>
      <c r="C36" s="16" t="s">
        <v>319</v>
      </c>
      <c r="D36" s="16" t="s">
        <v>106</v>
      </c>
      <c r="E36" s="16" t="s">
        <v>11</v>
      </c>
      <c r="F36" s="16"/>
      <c r="G36" s="16" t="s">
        <v>290</v>
      </c>
    </row>
    <row r="37" customFormat="false" ht="22.5" hidden="true" customHeight="true" outlineLevel="0" collapsed="false">
      <c r="A37" s="16" t="s">
        <v>320</v>
      </c>
      <c r="B37" s="16" t="s">
        <v>321</v>
      </c>
      <c r="C37" s="16" t="s">
        <v>322</v>
      </c>
      <c r="D37" s="16" t="s">
        <v>323</v>
      </c>
      <c r="E37" s="16" t="s">
        <v>11</v>
      </c>
      <c r="F37" s="16"/>
      <c r="G37" s="16" t="s">
        <v>290</v>
      </c>
    </row>
    <row r="38" customFormat="false" ht="22.5" hidden="false" customHeight="true" outlineLevel="0" collapsed="false">
      <c r="A38" s="19" t="s">
        <v>324</v>
      </c>
      <c r="B38" s="19" t="s">
        <v>325</v>
      </c>
      <c r="C38" s="19" t="s">
        <v>326</v>
      </c>
      <c r="D38" s="19" t="s">
        <v>327</v>
      </c>
      <c r="E38" s="19" t="s">
        <v>11</v>
      </c>
      <c r="F38" s="19"/>
      <c r="G38" s="19" t="s">
        <v>215</v>
      </c>
    </row>
    <row r="39" customFormat="false" ht="22.5" hidden="false" customHeight="true" outlineLevel="0" collapsed="false">
      <c r="A39" s="19" t="s">
        <v>328</v>
      </c>
      <c r="B39" s="19" t="s">
        <v>329</v>
      </c>
      <c r="C39" s="19" t="s">
        <v>330</v>
      </c>
      <c r="D39" s="20" t="n">
        <v>192168240122</v>
      </c>
      <c r="E39" s="19" t="s">
        <v>11</v>
      </c>
      <c r="F39" s="19"/>
      <c r="G39" s="19" t="s">
        <v>215</v>
      </c>
    </row>
    <row r="40" customFormat="false" ht="22.5" hidden="true" customHeight="true" outlineLevel="0" collapsed="false">
      <c r="A40" s="16" t="s">
        <v>331</v>
      </c>
      <c r="B40" s="16" t="s">
        <v>332</v>
      </c>
      <c r="C40" s="16" t="s">
        <v>333</v>
      </c>
      <c r="D40" s="16" t="s">
        <v>334</v>
      </c>
      <c r="E40" s="16" t="s">
        <v>11</v>
      </c>
      <c r="F40" s="16"/>
      <c r="G40" s="16" t="s">
        <v>290</v>
      </c>
    </row>
    <row r="41" customFormat="false" ht="22.5" hidden="true" customHeight="true" outlineLevel="0" collapsed="false">
      <c r="A41" s="16" t="s">
        <v>335</v>
      </c>
      <c r="B41" s="16" t="s">
        <v>336</v>
      </c>
      <c r="C41" s="16" t="s">
        <v>337</v>
      </c>
      <c r="D41" s="16" t="s">
        <v>338</v>
      </c>
      <c r="E41" s="16" t="s">
        <v>11</v>
      </c>
      <c r="F41" s="16"/>
      <c r="G41" s="16" t="s">
        <v>290</v>
      </c>
    </row>
    <row r="42" customFormat="false" ht="22.5" hidden="false" customHeight="true" outlineLevel="0" collapsed="false">
      <c r="A42" s="19" t="s">
        <v>339</v>
      </c>
      <c r="B42" s="19" t="s">
        <v>340</v>
      </c>
      <c r="C42" s="19" t="s">
        <v>341</v>
      </c>
      <c r="D42" s="19" t="s">
        <v>342</v>
      </c>
      <c r="E42" s="19" t="s">
        <v>11</v>
      </c>
      <c r="F42" s="19"/>
      <c r="G42" s="19" t="s">
        <v>215</v>
      </c>
    </row>
    <row r="43" customFormat="false" ht="22.5" hidden="true" customHeight="true" outlineLevel="0" collapsed="false">
      <c r="A43" s="16" t="s">
        <v>343</v>
      </c>
      <c r="B43" s="16" t="s">
        <v>344</v>
      </c>
      <c r="C43" s="16" t="s">
        <v>345</v>
      </c>
      <c r="D43" s="17" t="n">
        <v>192168168113</v>
      </c>
      <c r="E43" s="16" t="s">
        <v>11</v>
      </c>
      <c r="F43" s="16"/>
      <c r="G43" s="16"/>
    </row>
    <row r="44" customFormat="false" ht="22.5" hidden="true" customHeight="true" outlineLevel="0" collapsed="false">
      <c r="A44" s="16" t="s">
        <v>346</v>
      </c>
      <c r="B44" s="16" t="s">
        <v>347</v>
      </c>
      <c r="C44" s="16" t="s">
        <v>348</v>
      </c>
      <c r="D44" s="16" t="s">
        <v>349</v>
      </c>
      <c r="E44" s="16" t="s">
        <v>11</v>
      </c>
      <c r="F44" s="16"/>
      <c r="G44" s="16" t="s">
        <v>69</v>
      </c>
    </row>
    <row r="45" customFormat="false" ht="22.5" hidden="true" customHeight="true" outlineLevel="0" collapsed="false">
      <c r="A45" s="16" t="s">
        <v>350</v>
      </c>
      <c r="B45" s="16" t="s">
        <v>351</v>
      </c>
      <c r="C45" s="16" t="s">
        <v>352</v>
      </c>
      <c r="D45" s="17" t="n">
        <v>192168240164</v>
      </c>
      <c r="E45" s="16" t="s">
        <v>11</v>
      </c>
      <c r="F45" s="16"/>
      <c r="G45" s="16" t="s">
        <v>69</v>
      </c>
    </row>
    <row r="46" customFormat="false" ht="22.5" hidden="true" customHeight="true" outlineLevel="0" collapsed="false">
      <c r="A46" s="16" t="s">
        <v>353</v>
      </c>
      <c r="B46" s="16" t="s">
        <v>354</v>
      </c>
      <c r="C46" s="16" t="s">
        <v>355</v>
      </c>
      <c r="D46" s="16" t="s">
        <v>356</v>
      </c>
      <c r="E46" s="16" t="s">
        <v>11</v>
      </c>
      <c r="F46" s="16"/>
      <c r="G46" s="16" t="s">
        <v>290</v>
      </c>
    </row>
    <row r="47" customFormat="false" ht="22.5" hidden="false" customHeight="true" outlineLevel="0" collapsed="false">
      <c r="A47" s="19" t="s">
        <v>357</v>
      </c>
      <c r="B47" s="19" t="s">
        <v>358</v>
      </c>
      <c r="C47" s="19" t="s">
        <v>359</v>
      </c>
      <c r="D47" s="19" t="s">
        <v>360</v>
      </c>
      <c r="E47" s="19" t="s">
        <v>11</v>
      </c>
      <c r="F47" s="19"/>
      <c r="G47" s="19" t="s">
        <v>215</v>
      </c>
    </row>
    <row r="48" customFormat="false" ht="22.5" hidden="false" customHeight="true" outlineLevel="0" collapsed="false">
      <c r="A48" s="19" t="s">
        <v>361</v>
      </c>
      <c r="B48" s="19" t="s">
        <v>362</v>
      </c>
      <c r="C48" s="19" t="s">
        <v>363</v>
      </c>
      <c r="D48" s="19" t="s">
        <v>364</v>
      </c>
      <c r="E48" s="19" t="s">
        <v>11</v>
      </c>
      <c r="F48" s="19"/>
      <c r="G48" s="19" t="s">
        <v>215</v>
      </c>
    </row>
    <row r="49" customFormat="false" ht="22.5" hidden="false" customHeight="true" outlineLevel="0" collapsed="false">
      <c r="A49" s="19" t="s">
        <v>365</v>
      </c>
      <c r="B49" s="19" t="s">
        <v>366</v>
      </c>
      <c r="C49" s="19" t="s">
        <v>367</v>
      </c>
      <c r="D49" s="19" t="s">
        <v>368</v>
      </c>
      <c r="E49" s="19" t="s">
        <v>11</v>
      </c>
      <c r="F49" s="19"/>
      <c r="G49" s="19" t="s">
        <v>215</v>
      </c>
    </row>
    <row r="50" customFormat="false" ht="22.5" hidden="false" customHeight="true" outlineLevel="0" collapsed="false">
      <c r="A50" s="19" t="s">
        <v>111</v>
      </c>
      <c r="B50" s="19" t="s">
        <v>112</v>
      </c>
      <c r="C50" s="19" t="s">
        <v>113</v>
      </c>
      <c r="D50" s="20" t="n">
        <v>192168134223</v>
      </c>
      <c r="E50" s="19" t="s">
        <v>11</v>
      </c>
      <c r="F50" s="19"/>
      <c r="G50" s="19" t="s">
        <v>215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1.75"/>
    <col collapsed="false" customWidth="true" hidden="false" outlineLevel="0" max="3" min="3" style="1" width="33.88"/>
    <col collapsed="false" customWidth="true" hidden="false" outlineLevel="0" max="4" min="4" style="1" width="13.88"/>
    <col collapsed="false" customWidth="true" hidden="false" outlineLevel="0" max="6" min="5" style="1" width="22.63"/>
  </cols>
  <sheetData>
    <row r="1" customFormat="false" ht="22.5" hidden="false" customHeight="true" outlineLevel="0" collapsed="false">
      <c r="A1" s="21" t="s">
        <v>369</v>
      </c>
      <c r="B1" s="22" t="s">
        <v>370</v>
      </c>
      <c r="C1" s="22" t="s">
        <v>371</v>
      </c>
      <c r="D1" s="22" t="s">
        <v>3</v>
      </c>
      <c r="E1" s="22" t="s">
        <v>4</v>
      </c>
      <c r="F1" s="23" t="s">
        <v>372</v>
      </c>
    </row>
    <row r="2" customFormat="false" ht="22.5" hidden="false" customHeight="true" outlineLevel="0" collapsed="false">
      <c r="A2" s="24" t="s">
        <v>373</v>
      </c>
      <c r="B2" s="24" t="s">
        <v>374</v>
      </c>
      <c r="C2" s="24" t="s">
        <v>375</v>
      </c>
      <c r="D2" s="24" t="s">
        <v>376</v>
      </c>
      <c r="E2" s="24" t="s">
        <v>11</v>
      </c>
      <c r="F2" s="24" t="s">
        <v>74</v>
      </c>
    </row>
    <row r="3" customFormat="false" ht="22.5" hidden="false" customHeight="true" outlineLevel="0" collapsed="false">
      <c r="A3" s="24" t="s">
        <v>377</v>
      </c>
      <c r="B3" s="24" t="s">
        <v>378</v>
      </c>
      <c r="C3" s="24" t="s">
        <v>379</v>
      </c>
      <c r="D3" s="24" t="s">
        <v>380</v>
      </c>
      <c r="E3" s="24" t="s">
        <v>381</v>
      </c>
      <c r="F3" s="24" t="s">
        <v>74</v>
      </c>
    </row>
    <row r="4" customFormat="false" ht="22.5" hidden="false" customHeight="true" outlineLevel="0" collapsed="false">
      <c r="A4" s="24" t="s">
        <v>382</v>
      </c>
      <c r="B4" s="24" t="s">
        <v>383</v>
      </c>
      <c r="C4" s="24" t="s">
        <v>384</v>
      </c>
      <c r="D4" s="24" t="s">
        <v>385</v>
      </c>
      <c r="E4" s="24" t="s">
        <v>11</v>
      </c>
      <c r="F4" s="24" t="s">
        <v>74</v>
      </c>
    </row>
    <row r="5" customFormat="false" ht="22.5" hidden="false" customHeight="true" outlineLevel="0" collapsed="false">
      <c r="A5" s="24" t="s">
        <v>386</v>
      </c>
      <c r="B5" s="24" t="s">
        <v>387</v>
      </c>
      <c r="C5" s="24" t="s">
        <v>388</v>
      </c>
      <c r="D5" s="24" t="s">
        <v>114</v>
      </c>
      <c r="E5" s="24" t="s">
        <v>11</v>
      </c>
      <c r="F5" s="24" t="s">
        <v>74</v>
      </c>
    </row>
    <row r="6" customFormat="false" ht="22.5" hidden="false" customHeight="true" outlineLevel="0" collapsed="false">
      <c r="A6" s="24" t="s">
        <v>123</v>
      </c>
      <c r="B6" s="24" t="s">
        <v>389</v>
      </c>
      <c r="C6" s="24" t="s">
        <v>390</v>
      </c>
      <c r="D6" s="25" t="n">
        <v>192168134152</v>
      </c>
      <c r="E6" s="24" t="s">
        <v>11</v>
      </c>
      <c r="F6" s="24" t="s">
        <v>74</v>
      </c>
    </row>
    <row r="7" customFormat="false" ht="22.5" hidden="false" customHeight="true" outlineLevel="0" collapsed="false">
      <c r="A7" s="24" t="s">
        <v>391</v>
      </c>
      <c r="B7" s="24" t="s">
        <v>392</v>
      </c>
      <c r="C7" s="24" t="s">
        <v>393</v>
      </c>
      <c r="D7" s="24" t="s">
        <v>394</v>
      </c>
      <c r="E7" s="24" t="s">
        <v>11</v>
      </c>
      <c r="F7" s="24" t="s">
        <v>74</v>
      </c>
    </row>
    <row r="8" customFormat="false" ht="22.5" hidden="false" customHeight="true" outlineLevel="0" collapsed="false">
      <c r="A8" s="24"/>
      <c r="B8" s="24"/>
      <c r="C8" s="24"/>
      <c r="D8" s="24"/>
      <c r="E8" s="24"/>
      <c r="F8" s="24"/>
    </row>
    <row r="9" customFormat="false" ht="22.5" hidden="false" customHeight="true" outlineLevel="0" collapsed="false">
      <c r="A9" s="24"/>
      <c r="B9" s="24"/>
      <c r="C9" s="24"/>
      <c r="D9" s="24"/>
      <c r="E9" s="24"/>
      <c r="F9" s="24"/>
    </row>
    <row r="10" customFormat="false" ht="22.5" hidden="false" customHeight="true" outlineLevel="0" collapsed="false">
      <c r="A10" s="24"/>
      <c r="B10" s="24"/>
      <c r="C10" s="24"/>
      <c r="D10" s="24"/>
      <c r="E10" s="24"/>
      <c r="F10" s="24"/>
    </row>
    <row r="11" customFormat="false" ht="22.5" hidden="false" customHeight="true" outlineLevel="0" collapsed="false">
      <c r="A11" s="24"/>
      <c r="B11" s="24"/>
      <c r="C11" s="24"/>
      <c r="D11" s="24"/>
      <c r="E11" s="24"/>
      <c r="F11" s="24"/>
    </row>
    <row r="12" customFormat="false" ht="22.5" hidden="false" customHeight="true" outlineLevel="0" collapsed="false">
      <c r="A12" s="24"/>
      <c r="B12" s="24"/>
      <c r="C12" s="24"/>
      <c r="D12" s="24"/>
      <c r="E12" s="24"/>
      <c r="F12" s="24"/>
    </row>
    <row r="13" customFormat="false" ht="22.5" hidden="false" customHeight="true" outlineLevel="0" collapsed="false">
      <c r="A13" s="24"/>
      <c r="B13" s="24"/>
      <c r="C13" s="24"/>
      <c r="D13" s="24"/>
      <c r="E13" s="24"/>
      <c r="F13" s="24"/>
    </row>
    <row r="14" customFormat="false" ht="22.5" hidden="false" customHeight="true" outlineLevel="0" collapsed="false">
      <c r="A14" s="24"/>
      <c r="B14" s="24"/>
      <c r="C14" s="24"/>
      <c r="D14" s="24"/>
      <c r="E14" s="24"/>
      <c r="F14" s="24"/>
    </row>
    <row r="15" customFormat="false" ht="22.5" hidden="false" customHeight="true" outlineLevel="0" collapsed="false">
      <c r="A15" s="24"/>
      <c r="B15" s="24"/>
      <c r="C15" s="24"/>
      <c r="D15" s="24"/>
      <c r="E15" s="24"/>
      <c r="F15" s="2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1.75"/>
    <col collapsed="false" customWidth="true" hidden="false" outlineLevel="0" max="3" min="3" style="1" width="33.88"/>
    <col collapsed="false" customWidth="true" hidden="false" outlineLevel="0" max="4" min="4" style="1" width="13.88"/>
    <col collapsed="false" customWidth="true" hidden="false" outlineLevel="0" max="6" min="5" style="1" width="22.63"/>
  </cols>
  <sheetData>
    <row r="1" customFormat="false" ht="22.5" hidden="false" customHeight="true" outlineLevel="0" collapsed="false">
      <c r="A1" s="21" t="s">
        <v>369</v>
      </c>
      <c r="B1" s="22" t="s">
        <v>370</v>
      </c>
      <c r="C1" s="22" t="s">
        <v>371</v>
      </c>
      <c r="D1" s="22" t="s">
        <v>3</v>
      </c>
      <c r="E1" s="22" t="s">
        <v>4</v>
      </c>
      <c r="F1" s="23" t="s">
        <v>372</v>
      </c>
    </row>
    <row r="2" customFormat="false" ht="22.5" hidden="false" customHeight="true" outlineLevel="0" collapsed="false">
      <c r="A2" s="26" t="s">
        <v>124</v>
      </c>
      <c r="B2" s="27" t="s">
        <v>125</v>
      </c>
      <c r="C2" s="27" t="s">
        <v>126</v>
      </c>
      <c r="D2" s="27" t="s">
        <v>127</v>
      </c>
      <c r="E2" s="27" t="s">
        <v>11</v>
      </c>
      <c r="F2" s="27" t="s">
        <v>74</v>
      </c>
    </row>
    <row r="3" customFormat="false" ht="22.5" hidden="false" customHeight="true" outlineLevel="0" collapsed="false">
      <c r="A3" s="26" t="s">
        <v>170</v>
      </c>
      <c r="B3" s="27" t="s">
        <v>171</v>
      </c>
      <c r="C3" s="27" t="s">
        <v>172</v>
      </c>
      <c r="D3" s="28" t="s">
        <v>173</v>
      </c>
      <c r="E3" s="27" t="s">
        <v>11</v>
      </c>
      <c r="F3" s="27" t="s">
        <v>74</v>
      </c>
    </row>
    <row r="4" customFormat="false" ht="22.5" hidden="false" customHeight="true" outlineLevel="0" collapsed="false">
      <c r="A4" s="26" t="s">
        <v>166</v>
      </c>
      <c r="B4" s="27" t="s">
        <v>167</v>
      </c>
      <c r="C4" s="27" t="s">
        <v>168</v>
      </c>
      <c r="D4" s="27" t="s">
        <v>169</v>
      </c>
      <c r="E4" s="27" t="s">
        <v>11</v>
      </c>
      <c r="F4" s="27" t="s">
        <v>74</v>
      </c>
    </row>
    <row r="5" customFormat="false" ht="22.5" hidden="false" customHeight="true" outlineLevel="0" collapsed="false">
      <c r="A5" s="26" t="s">
        <v>395</v>
      </c>
      <c r="B5" s="27" t="s">
        <v>396</v>
      </c>
      <c r="C5" s="27" t="s">
        <v>397</v>
      </c>
      <c r="D5" s="27" t="s">
        <v>398</v>
      </c>
      <c r="E5" s="27" t="s">
        <v>11</v>
      </c>
      <c r="F5" s="27" t="s">
        <v>74</v>
      </c>
    </row>
    <row r="6" customFormat="false" ht="22.5" hidden="false" customHeight="true" outlineLevel="0" collapsed="false">
      <c r="A6" s="26" t="s">
        <v>185</v>
      </c>
      <c r="B6" s="27" t="s">
        <v>186</v>
      </c>
      <c r="C6" s="27" t="s">
        <v>399</v>
      </c>
      <c r="D6" s="27" t="s">
        <v>248</v>
      </c>
      <c r="E6" s="27" t="s">
        <v>11</v>
      </c>
      <c r="F6" s="27" t="s">
        <v>74</v>
      </c>
    </row>
    <row r="7" customFormat="false" ht="22.5" hidden="false" customHeight="true" outlineLevel="0" collapsed="false">
      <c r="A7" s="29"/>
      <c r="B7" s="24"/>
      <c r="C7" s="24"/>
      <c r="D7" s="24"/>
      <c r="E7" s="24"/>
      <c r="F7" s="24"/>
    </row>
    <row r="8" customFormat="false" ht="22.5" hidden="false" customHeight="true" outlineLevel="0" collapsed="false">
      <c r="A8" s="29"/>
      <c r="B8" s="24"/>
      <c r="C8" s="24"/>
      <c r="D8" s="24"/>
      <c r="E8" s="24"/>
      <c r="F8" s="24"/>
    </row>
    <row r="9" customFormat="false" ht="22.5" hidden="false" customHeight="true" outlineLevel="0" collapsed="false">
      <c r="A9" s="29"/>
      <c r="B9" s="24"/>
      <c r="C9" s="24"/>
      <c r="D9" s="24"/>
      <c r="E9" s="24"/>
      <c r="F9" s="24"/>
    </row>
    <row r="10" customFormat="false" ht="22.5" hidden="false" customHeight="true" outlineLevel="0" collapsed="false">
      <c r="A10" s="29"/>
      <c r="B10" s="24"/>
      <c r="C10" s="24"/>
      <c r="D10" s="24"/>
      <c r="E10" s="24"/>
      <c r="F10" s="24"/>
    </row>
    <row r="11" customFormat="false" ht="22.5" hidden="false" customHeight="true" outlineLevel="0" collapsed="false">
      <c r="A11" s="29"/>
      <c r="B11" s="24"/>
      <c r="C11" s="24"/>
      <c r="D11" s="24"/>
      <c r="E11" s="24"/>
      <c r="F11" s="24"/>
    </row>
    <row r="12" customFormat="false" ht="22.5" hidden="false" customHeight="true" outlineLevel="0" collapsed="false">
      <c r="A12" s="29"/>
      <c r="B12" s="24"/>
      <c r="C12" s="24"/>
      <c r="D12" s="24"/>
      <c r="E12" s="24"/>
      <c r="F12" s="24"/>
    </row>
    <row r="13" customFormat="false" ht="22.5" hidden="false" customHeight="true" outlineLevel="0" collapsed="false">
      <c r="A13" s="29"/>
      <c r="B13" s="24"/>
      <c r="C13" s="24"/>
      <c r="D13" s="24"/>
      <c r="E13" s="24"/>
      <c r="F13" s="24"/>
    </row>
    <row r="14" customFormat="false" ht="22.5" hidden="false" customHeight="true" outlineLevel="0" collapsed="false">
      <c r="A14" s="29"/>
      <c r="B14" s="24"/>
      <c r="C14" s="24"/>
      <c r="D14" s="24"/>
      <c r="E14" s="24"/>
      <c r="F14" s="24"/>
    </row>
    <row r="15" customFormat="false" ht="22.5" hidden="false" customHeight="true" outlineLevel="0" collapsed="false">
      <c r="A15" s="29"/>
      <c r="B15" s="24"/>
      <c r="C15" s="24"/>
      <c r="D15" s="24"/>
      <c r="E15" s="24"/>
      <c r="F15" s="24"/>
    </row>
    <row r="16" customFormat="false" ht="22.5" hidden="false" customHeight="true" outlineLevel="0" collapsed="false">
      <c r="A16" s="29"/>
      <c r="B16" s="24"/>
      <c r="C16" s="24"/>
      <c r="D16" s="24"/>
      <c r="E16" s="24"/>
      <c r="F16" s="24"/>
    </row>
    <row r="17" customFormat="false" ht="22.5" hidden="false" customHeight="true" outlineLevel="0" collapsed="false">
      <c r="A17" s="29"/>
      <c r="B17" s="24"/>
      <c r="C17" s="24"/>
      <c r="D17" s="24"/>
      <c r="E17" s="24"/>
      <c r="F17" s="24"/>
    </row>
    <row r="18" customFormat="false" ht="22.5" hidden="false" customHeight="true" outlineLevel="0" collapsed="false">
      <c r="A18" s="29"/>
      <c r="B18" s="24"/>
      <c r="C18" s="24"/>
      <c r="D18" s="24"/>
      <c r="E18" s="24"/>
      <c r="F18" s="24"/>
    </row>
    <row r="19" customFormat="false" ht="22.5" hidden="false" customHeight="true" outlineLevel="0" collapsed="false">
      <c r="A19" s="29"/>
      <c r="B19" s="24"/>
      <c r="C19" s="24"/>
      <c r="D19" s="24"/>
      <c r="E19" s="24"/>
      <c r="F19" s="24"/>
    </row>
    <row r="20" customFormat="false" ht="22.5" hidden="false" customHeight="true" outlineLevel="0" collapsed="false">
      <c r="A20" s="29"/>
      <c r="B20" s="24"/>
      <c r="C20" s="24"/>
      <c r="D20" s="24"/>
      <c r="E20" s="24"/>
      <c r="F20" s="24"/>
    </row>
    <row r="21" customFormat="false" ht="22.5" hidden="false" customHeight="true" outlineLevel="0" collapsed="false">
      <c r="A21" s="29"/>
      <c r="B21" s="24"/>
      <c r="C21" s="24"/>
      <c r="D21" s="24"/>
      <c r="E21" s="24"/>
      <c r="F21" s="24"/>
    </row>
    <row r="22" customFormat="false" ht="22.5" hidden="false" customHeight="true" outlineLevel="0" collapsed="false">
      <c r="A22" s="29"/>
      <c r="B22" s="24"/>
      <c r="C22" s="24"/>
      <c r="D22" s="24"/>
      <c r="E22" s="24"/>
      <c r="F22" s="24"/>
    </row>
    <row r="23" customFormat="false" ht="22.5" hidden="false" customHeight="true" outlineLevel="0" collapsed="false">
      <c r="A23" s="29"/>
      <c r="B23" s="24"/>
      <c r="C23" s="24"/>
      <c r="D23" s="24"/>
      <c r="E23" s="24"/>
      <c r="F23" s="24"/>
    </row>
    <row r="24" customFormat="false" ht="22.5" hidden="false" customHeight="true" outlineLevel="0" collapsed="false">
      <c r="A24" s="29"/>
      <c r="B24" s="24"/>
      <c r="C24" s="24"/>
      <c r="D24" s="24"/>
      <c r="E24" s="24"/>
      <c r="F24" s="24"/>
    </row>
    <row r="25" customFormat="false" ht="22.5" hidden="false" customHeight="true" outlineLevel="0" collapsed="false">
      <c r="A25" s="29"/>
      <c r="B25" s="24"/>
      <c r="C25" s="24"/>
      <c r="D25" s="24"/>
      <c r="E25" s="24"/>
      <c r="F25" s="24"/>
    </row>
    <row r="26" customFormat="false" ht="22.5" hidden="false" customHeight="true" outlineLevel="0" collapsed="false">
      <c r="A26" s="29"/>
      <c r="B26" s="24"/>
      <c r="C26" s="24"/>
      <c r="D26" s="24"/>
      <c r="E26" s="24"/>
      <c r="F26" s="24"/>
    </row>
    <row r="27" customFormat="false" ht="22.5" hidden="false" customHeight="true" outlineLevel="0" collapsed="false">
      <c r="A27" s="29"/>
      <c r="B27" s="24"/>
      <c r="C27" s="24"/>
      <c r="D27" s="24"/>
      <c r="E27" s="24"/>
      <c r="F27" s="24"/>
    </row>
    <row r="28" customFormat="false" ht="22.5" hidden="false" customHeight="true" outlineLevel="0" collapsed="false">
      <c r="A28" s="29"/>
      <c r="B28" s="24"/>
      <c r="C28" s="24"/>
      <c r="D28" s="24"/>
      <c r="E28" s="24"/>
      <c r="F28" s="24"/>
    </row>
    <row r="29" customFormat="false" ht="22.5" hidden="false" customHeight="true" outlineLevel="0" collapsed="false">
      <c r="A29" s="29"/>
      <c r="B29" s="24"/>
      <c r="C29" s="24"/>
      <c r="D29" s="24"/>
      <c r="E29" s="24"/>
      <c r="F29" s="24"/>
    </row>
    <row r="30" customFormat="false" ht="22.5" hidden="false" customHeight="true" outlineLevel="0" collapsed="false">
      <c r="A30" s="29"/>
      <c r="B30" s="24"/>
      <c r="C30" s="24"/>
      <c r="D30" s="24"/>
      <c r="E30" s="24"/>
      <c r="F30" s="24"/>
    </row>
    <row r="31" customFormat="false" ht="22.5" hidden="false" customHeight="true" outlineLevel="0" collapsed="false">
      <c r="A31" s="29"/>
      <c r="B31" s="24"/>
      <c r="C31" s="24"/>
      <c r="D31" s="24"/>
      <c r="E31" s="24"/>
      <c r="F31" s="24"/>
    </row>
    <row r="32" customFormat="false" ht="22.5" hidden="false" customHeight="true" outlineLevel="0" collapsed="false">
      <c r="A32" s="29"/>
      <c r="B32" s="24"/>
      <c r="C32" s="24"/>
      <c r="D32" s="24"/>
      <c r="E32" s="24"/>
      <c r="F32" s="24"/>
    </row>
    <row r="33" customFormat="false" ht="22.5" hidden="false" customHeight="true" outlineLevel="0" collapsed="false">
      <c r="A33" s="29"/>
      <c r="B33" s="24"/>
      <c r="C33" s="24"/>
      <c r="D33" s="24"/>
      <c r="E33" s="24"/>
      <c r="F33" s="24"/>
    </row>
    <row r="34" customFormat="false" ht="22.5" hidden="false" customHeight="true" outlineLevel="0" collapsed="false">
      <c r="A34" s="29"/>
      <c r="B34" s="24"/>
      <c r="C34" s="24"/>
      <c r="D34" s="24"/>
      <c r="E34" s="24"/>
      <c r="F34" s="24"/>
    </row>
    <row r="35" customFormat="false" ht="22.5" hidden="false" customHeight="true" outlineLevel="0" collapsed="false">
      <c r="A35" s="29"/>
      <c r="B35" s="24"/>
      <c r="C35" s="24"/>
      <c r="D35" s="24"/>
      <c r="E35" s="24"/>
      <c r="F35" s="24"/>
    </row>
    <row r="36" customFormat="false" ht="22.5" hidden="false" customHeight="true" outlineLevel="0" collapsed="false">
      <c r="A36" s="29"/>
      <c r="B36" s="24"/>
      <c r="C36" s="24"/>
      <c r="D36" s="24"/>
      <c r="E36" s="24"/>
      <c r="F36" s="24"/>
    </row>
    <row r="37" customFormat="false" ht="22.5" hidden="false" customHeight="true" outlineLevel="0" collapsed="false">
      <c r="A37" s="29"/>
      <c r="B37" s="24"/>
      <c r="C37" s="24"/>
      <c r="D37" s="24"/>
      <c r="E37" s="24"/>
      <c r="F37" s="24"/>
    </row>
    <row r="38" customFormat="false" ht="22.5" hidden="false" customHeight="true" outlineLevel="0" collapsed="false">
      <c r="A38" s="29"/>
      <c r="B38" s="24"/>
      <c r="C38" s="24"/>
      <c r="D38" s="24"/>
      <c r="E38" s="24"/>
      <c r="F38" s="24"/>
    </row>
    <row r="39" customFormat="false" ht="22.5" hidden="false" customHeight="true" outlineLevel="0" collapsed="false">
      <c r="A39" s="29"/>
      <c r="B39" s="24"/>
      <c r="C39" s="24"/>
      <c r="D39" s="24"/>
      <c r="E39" s="24"/>
      <c r="F39" s="24"/>
    </row>
    <row r="40" customFormat="false" ht="22.5" hidden="false" customHeight="true" outlineLevel="0" collapsed="false">
      <c r="A40" s="29"/>
      <c r="B40" s="24"/>
      <c r="C40" s="24"/>
      <c r="D40" s="24"/>
      <c r="E40" s="24"/>
      <c r="F40" s="24"/>
    </row>
    <row r="41" customFormat="false" ht="22.5" hidden="false" customHeight="true" outlineLevel="0" collapsed="false">
      <c r="A41" s="29"/>
      <c r="B41" s="24"/>
      <c r="C41" s="24"/>
      <c r="D41" s="24"/>
      <c r="E41" s="24"/>
      <c r="F41" s="24"/>
    </row>
    <row r="42" customFormat="false" ht="22.5" hidden="false" customHeight="true" outlineLevel="0" collapsed="false">
      <c r="A42" s="29"/>
      <c r="B42" s="24"/>
      <c r="C42" s="24"/>
      <c r="D42" s="24"/>
      <c r="E42" s="24"/>
      <c r="F42" s="24"/>
    </row>
    <row r="43" customFormat="false" ht="22.5" hidden="false" customHeight="true" outlineLevel="0" collapsed="false">
      <c r="A43" s="29"/>
      <c r="B43" s="24"/>
      <c r="C43" s="24"/>
      <c r="D43" s="24"/>
      <c r="E43" s="24"/>
      <c r="F43" s="24"/>
    </row>
    <row r="44" customFormat="false" ht="22.5" hidden="false" customHeight="true" outlineLevel="0" collapsed="false">
      <c r="A44" s="29"/>
      <c r="B44" s="24"/>
      <c r="C44" s="24"/>
      <c r="D44" s="24"/>
      <c r="E44" s="24"/>
      <c r="F44" s="24"/>
    </row>
    <row r="45" customFormat="false" ht="22.5" hidden="false" customHeight="true" outlineLevel="0" collapsed="false">
      <c r="A45" s="29"/>
      <c r="B45" s="24"/>
      <c r="C45" s="24"/>
      <c r="D45" s="24"/>
      <c r="E45" s="24"/>
      <c r="F45" s="24"/>
    </row>
    <row r="46" customFormat="false" ht="22.5" hidden="false" customHeight="true" outlineLevel="0" collapsed="false">
      <c r="A46" s="29"/>
      <c r="B46" s="24"/>
      <c r="C46" s="24"/>
      <c r="D46" s="24"/>
      <c r="E46" s="24"/>
      <c r="F46" s="24"/>
    </row>
    <row r="47" customFormat="false" ht="22.5" hidden="false" customHeight="true" outlineLevel="0" collapsed="false">
      <c r="A47" s="29"/>
      <c r="B47" s="24"/>
      <c r="C47" s="24"/>
      <c r="D47" s="24"/>
      <c r="E47" s="24"/>
      <c r="F47" s="2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1.75"/>
    <col collapsed="false" customWidth="true" hidden="false" outlineLevel="0" max="3" min="3" style="1" width="33.88"/>
    <col collapsed="false" customWidth="true" hidden="false" outlineLevel="0" max="4" min="4" style="1" width="13.88"/>
    <col collapsed="false" customWidth="true" hidden="false" outlineLevel="0" max="6" min="5" style="1" width="22.63"/>
  </cols>
  <sheetData>
    <row r="1" customFormat="false" ht="22.5" hidden="false" customHeight="true" outlineLevel="0" collapsed="false">
      <c r="A1" s="21" t="s">
        <v>369</v>
      </c>
      <c r="B1" s="22" t="s">
        <v>370</v>
      </c>
      <c r="C1" s="22" t="s">
        <v>371</v>
      </c>
      <c r="D1" s="22" t="s">
        <v>3</v>
      </c>
      <c r="E1" s="22" t="s">
        <v>4</v>
      </c>
      <c r="F1" s="23" t="s">
        <v>372</v>
      </c>
    </row>
    <row r="2" customFormat="false" ht="22.5" hidden="false" customHeight="true" outlineLevel="0" collapsed="false">
      <c r="A2" s="26" t="s">
        <v>324</v>
      </c>
      <c r="B2" s="27" t="s">
        <v>325</v>
      </c>
      <c r="C2" s="27" t="s">
        <v>326</v>
      </c>
      <c r="D2" s="27" t="s">
        <v>152</v>
      </c>
      <c r="E2" s="27" t="s">
        <v>11</v>
      </c>
      <c r="F2" s="19" t="s">
        <v>400</v>
      </c>
    </row>
    <row r="3" customFormat="false" ht="22.5" hidden="false" customHeight="true" outlineLevel="0" collapsed="false">
      <c r="A3" s="26" t="s">
        <v>241</v>
      </c>
      <c r="B3" s="27" t="s">
        <v>242</v>
      </c>
      <c r="C3" s="27" t="s">
        <v>243</v>
      </c>
      <c r="D3" s="28" t="n">
        <v>192168240207</v>
      </c>
      <c r="E3" s="27" t="s">
        <v>11</v>
      </c>
      <c r="F3" s="19" t="s">
        <v>400</v>
      </c>
    </row>
    <row r="4" customFormat="false" ht="22.5" hidden="false" customHeight="true" outlineLevel="0" collapsed="false">
      <c r="A4" s="26" t="s">
        <v>111</v>
      </c>
      <c r="B4" s="27" t="s">
        <v>112</v>
      </c>
      <c r="C4" s="27" t="s">
        <v>113</v>
      </c>
      <c r="D4" s="28" t="n">
        <v>192168134223</v>
      </c>
      <c r="E4" s="27" t="s">
        <v>11</v>
      </c>
      <c r="F4" s="19" t="s">
        <v>400</v>
      </c>
    </row>
    <row r="5" customFormat="false" ht="22.5" hidden="false" customHeight="true" outlineLevel="0" collapsed="false">
      <c r="A5" s="26" t="s">
        <v>401</v>
      </c>
      <c r="B5" s="27" t="s">
        <v>402</v>
      </c>
      <c r="C5" s="27" t="s">
        <v>403</v>
      </c>
      <c r="D5" s="27" t="s">
        <v>404</v>
      </c>
      <c r="E5" s="27" t="s">
        <v>405</v>
      </c>
      <c r="F5" s="19" t="s">
        <v>400</v>
      </c>
    </row>
    <row r="6" customFormat="false" ht="22.5" hidden="false" customHeight="true" outlineLevel="0" collapsed="false">
      <c r="A6" s="26" t="s">
        <v>406</v>
      </c>
      <c r="B6" s="27" t="s">
        <v>407</v>
      </c>
      <c r="C6" s="27" t="s">
        <v>408</v>
      </c>
      <c r="D6" s="28" t="n">
        <v>192168240204</v>
      </c>
      <c r="E6" s="27" t="s">
        <v>405</v>
      </c>
      <c r="F6" s="27" t="s">
        <v>409</v>
      </c>
    </row>
    <row r="7" customFormat="false" ht="22.5" hidden="false" customHeight="true" outlineLevel="0" collapsed="false">
      <c r="A7" s="29"/>
      <c r="B7" s="24"/>
      <c r="C7" s="24"/>
      <c r="E7" s="24"/>
      <c r="F7" s="24"/>
    </row>
    <row r="8" customFormat="false" ht="22.5" hidden="false" customHeight="true" outlineLevel="0" collapsed="false">
      <c r="A8" s="29"/>
      <c r="B8" s="24"/>
      <c r="C8" s="24"/>
      <c r="D8" s="24"/>
      <c r="E8" s="24"/>
      <c r="F8" s="24"/>
    </row>
    <row r="9" customFormat="false" ht="22.5" hidden="false" customHeight="true" outlineLevel="0" collapsed="false">
      <c r="A9" s="29"/>
      <c r="B9" s="24"/>
      <c r="C9" s="24"/>
      <c r="D9" s="24"/>
      <c r="E9" s="24"/>
      <c r="F9" s="24"/>
    </row>
    <row r="10" customFormat="false" ht="22.5" hidden="false" customHeight="true" outlineLevel="0" collapsed="false">
      <c r="A10" s="29"/>
      <c r="B10" s="24"/>
      <c r="C10" s="24"/>
      <c r="D10" s="24"/>
      <c r="E10" s="24"/>
      <c r="F10" s="24"/>
    </row>
    <row r="11" customFormat="false" ht="22.5" hidden="false" customHeight="true" outlineLevel="0" collapsed="false">
      <c r="A11" s="29"/>
      <c r="B11" s="24"/>
      <c r="C11" s="24"/>
      <c r="D11" s="24"/>
      <c r="E11" s="24"/>
      <c r="F11" s="24"/>
    </row>
    <row r="12" customFormat="false" ht="22.5" hidden="false" customHeight="true" outlineLevel="0" collapsed="false">
      <c r="A12" s="29"/>
      <c r="B12" s="24"/>
      <c r="C12" s="24"/>
      <c r="D12" s="24"/>
      <c r="E12" s="24"/>
      <c r="F12" s="24"/>
    </row>
    <row r="13" customFormat="false" ht="22.5" hidden="false" customHeight="true" outlineLevel="0" collapsed="false">
      <c r="A13" s="29"/>
      <c r="B13" s="24"/>
      <c r="C13" s="24"/>
      <c r="D13" s="24"/>
      <c r="E13" s="24"/>
      <c r="F13" s="24"/>
    </row>
    <row r="14" customFormat="false" ht="22.5" hidden="false" customHeight="true" outlineLevel="0" collapsed="false">
      <c r="A14" s="29"/>
      <c r="B14" s="24"/>
      <c r="C14" s="24"/>
      <c r="D14" s="24"/>
      <c r="E14" s="24"/>
      <c r="F14" s="24"/>
    </row>
    <row r="15" customFormat="false" ht="22.5" hidden="false" customHeight="true" outlineLevel="0" collapsed="false">
      <c r="A15" s="29"/>
      <c r="B15" s="24"/>
      <c r="C15" s="24"/>
      <c r="D15" s="24"/>
      <c r="E15" s="24"/>
      <c r="F15" s="24"/>
    </row>
    <row r="16" customFormat="false" ht="22.5" hidden="false" customHeight="true" outlineLevel="0" collapsed="false">
      <c r="A16" s="29"/>
      <c r="B16" s="24"/>
      <c r="C16" s="24"/>
      <c r="D16" s="24"/>
      <c r="E16" s="24"/>
      <c r="F16" s="24"/>
    </row>
    <row r="17" customFormat="false" ht="22.5" hidden="false" customHeight="true" outlineLevel="0" collapsed="false">
      <c r="A17" s="29"/>
      <c r="B17" s="24"/>
      <c r="C17" s="24"/>
      <c r="D17" s="24"/>
      <c r="E17" s="24"/>
      <c r="F17" s="24"/>
    </row>
    <row r="18" customFormat="false" ht="22.5" hidden="false" customHeight="true" outlineLevel="0" collapsed="false">
      <c r="A18" s="29"/>
      <c r="B18" s="24"/>
      <c r="C18" s="24"/>
      <c r="D18" s="24"/>
      <c r="E18" s="24"/>
      <c r="F18" s="24"/>
    </row>
    <row r="19" customFormat="false" ht="22.5" hidden="false" customHeight="true" outlineLevel="0" collapsed="false">
      <c r="A19" s="29"/>
      <c r="B19" s="24"/>
      <c r="C19" s="24"/>
      <c r="D19" s="24"/>
      <c r="E19" s="24"/>
      <c r="F19" s="24"/>
    </row>
    <row r="20" customFormat="false" ht="22.5" hidden="false" customHeight="true" outlineLevel="0" collapsed="false">
      <c r="A20" s="29"/>
      <c r="B20" s="24"/>
      <c r="C20" s="24"/>
      <c r="D20" s="24"/>
      <c r="E20" s="24"/>
      <c r="F20" s="24"/>
    </row>
    <row r="21" customFormat="false" ht="22.5" hidden="false" customHeight="true" outlineLevel="0" collapsed="false">
      <c r="A21" s="29"/>
      <c r="B21" s="24"/>
      <c r="C21" s="24"/>
      <c r="D21" s="24"/>
      <c r="E21" s="24"/>
      <c r="F21" s="24"/>
    </row>
    <row r="22" customFormat="false" ht="22.5" hidden="false" customHeight="true" outlineLevel="0" collapsed="false">
      <c r="A22" s="29"/>
      <c r="B22" s="24"/>
      <c r="C22" s="24"/>
      <c r="D22" s="24"/>
      <c r="E22" s="24"/>
      <c r="F22" s="24"/>
    </row>
    <row r="23" customFormat="false" ht="22.5" hidden="false" customHeight="true" outlineLevel="0" collapsed="false">
      <c r="A23" s="29"/>
      <c r="B23" s="24"/>
      <c r="C23" s="24"/>
      <c r="D23" s="24"/>
      <c r="E23" s="24"/>
      <c r="F23" s="24"/>
    </row>
    <row r="24" customFormat="false" ht="22.5" hidden="false" customHeight="true" outlineLevel="0" collapsed="false">
      <c r="A24" s="29"/>
      <c r="B24" s="24"/>
      <c r="C24" s="24"/>
      <c r="D24" s="24"/>
      <c r="E24" s="24"/>
      <c r="F24" s="24"/>
    </row>
    <row r="25" customFormat="false" ht="22.5" hidden="false" customHeight="true" outlineLevel="0" collapsed="false">
      <c r="A25" s="29"/>
      <c r="B25" s="24"/>
      <c r="C25" s="24"/>
      <c r="D25" s="24"/>
      <c r="E25" s="24"/>
      <c r="F25" s="24"/>
    </row>
    <row r="26" customFormat="false" ht="22.5" hidden="false" customHeight="true" outlineLevel="0" collapsed="false">
      <c r="A26" s="29"/>
      <c r="B26" s="24"/>
      <c r="C26" s="24"/>
      <c r="D26" s="24"/>
      <c r="E26" s="24"/>
      <c r="F26" s="24"/>
    </row>
    <row r="27" customFormat="false" ht="22.5" hidden="false" customHeight="true" outlineLevel="0" collapsed="false">
      <c r="A27" s="29"/>
      <c r="B27" s="24"/>
      <c r="C27" s="24"/>
      <c r="D27" s="24"/>
      <c r="E27" s="24"/>
      <c r="F27" s="24"/>
    </row>
    <row r="28" customFormat="false" ht="22.5" hidden="false" customHeight="true" outlineLevel="0" collapsed="false">
      <c r="A28" s="29"/>
      <c r="B28" s="24"/>
      <c r="C28" s="24"/>
      <c r="D28" s="24"/>
      <c r="E28" s="24"/>
      <c r="F28" s="24"/>
    </row>
    <row r="29" customFormat="false" ht="22.5" hidden="false" customHeight="true" outlineLevel="0" collapsed="false">
      <c r="A29" s="29"/>
      <c r="B29" s="24"/>
      <c r="C29" s="24"/>
      <c r="D29" s="24"/>
      <c r="E29" s="24"/>
      <c r="F29" s="24"/>
    </row>
    <row r="30" customFormat="false" ht="22.5" hidden="false" customHeight="true" outlineLevel="0" collapsed="false">
      <c r="A30" s="29"/>
      <c r="B30" s="24"/>
      <c r="C30" s="24"/>
      <c r="D30" s="24"/>
      <c r="E30" s="24"/>
      <c r="F30" s="24"/>
    </row>
    <row r="31" customFormat="false" ht="22.5" hidden="false" customHeight="true" outlineLevel="0" collapsed="false">
      <c r="A31" s="29"/>
      <c r="B31" s="24"/>
      <c r="C31" s="24"/>
      <c r="D31" s="24"/>
      <c r="E31" s="24"/>
      <c r="F31" s="24"/>
    </row>
    <row r="32" customFormat="false" ht="22.5" hidden="false" customHeight="true" outlineLevel="0" collapsed="false">
      <c r="A32" s="29"/>
      <c r="B32" s="24"/>
      <c r="C32" s="24"/>
      <c r="D32" s="24"/>
      <c r="E32" s="24"/>
      <c r="F32" s="24"/>
    </row>
    <row r="33" customFormat="false" ht="22.5" hidden="false" customHeight="true" outlineLevel="0" collapsed="false">
      <c r="A33" s="29"/>
      <c r="B33" s="24"/>
      <c r="C33" s="24"/>
      <c r="D33" s="24"/>
      <c r="E33" s="24"/>
      <c r="F33" s="24"/>
    </row>
    <row r="34" customFormat="false" ht="22.5" hidden="false" customHeight="true" outlineLevel="0" collapsed="false">
      <c r="A34" s="29"/>
      <c r="B34" s="24"/>
      <c r="C34" s="24"/>
      <c r="D34" s="24"/>
      <c r="E34" s="24"/>
      <c r="F34" s="24"/>
    </row>
    <row r="35" customFormat="false" ht="22.5" hidden="false" customHeight="true" outlineLevel="0" collapsed="false">
      <c r="A35" s="29"/>
      <c r="B35" s="24"/>
      <c r="C35" s="24"/>
      <c r="D35" s="24"/>
      <c r="E35" s="24"/>
      <c r="F35" s="24"/>
    </row>
    <row r="36" customFormat="false" ht="22.5" hidden="false" customHeight="true" outlineLevel="0" collapsed="false">
      <c r="A36" s="29"/>
      <c r="B36" s="24"/>
      <c r="C36" s="24"/>
      <c r="D36" s="24"/>
      <c r="E36" s="24"/>
      <c r="F36" s="24"/>
    </row>
    <row r="37" customFormat="false" ht="22.5" hidden="false" customHeight="true" outlineLevel="0" collapsed="false">
      <c r="A37" s="29"/>
      <c r="B37" s="24"/>
      <c r="C37" s="24"/>
      <c r="D37" s="24"/>
      <c r="E37" s="24"/>
      <c r="F37" s="24"/>
    </row>
    <row r="38" customFormat="false" ht="22.5" hidden="false" customHeight="true" outlineLevel="0" collapsed="false">
      <c r="A38" s="29"/>
      <c r="B38" s="24"/>
      <c r="C38" s="24"/>
      <c r="D38" s="24"/>
      <c r="E38" s="24"/>
      <c r="F38" s="24"/>
    </row>
    <row r="39" customFormat="false" ht="22.5" hidden="false" customHeight="true" outlineLevel="0" collapsed="false">
      <c r="A39" s="29"/>
      <c r="B39" s="24"/>
      <c r="C39" s="24"/>
      <c r="D39" s="24"/>
      <c r="E39" s="24"/>
      <c r="F39" s="24"/>
    </row>
    <row r="40" customFormat="false" ht="22.5" hidden="false" customHeight="true" outlineLevel="0" collapsed="false">
      <c r="A40" s="29"/>
      <c r="B40" s="24"/>
      <c r="C40" s="24"/>
      <c r="D40" s="24"/>
      <c r="E40" s="24"/>
      <c r="F40" s="24"/>
    </row>
    <row r="41" customFormat="false" ht="22.5" hidden="false" customHeight="true" outlineLevel="0" collapsed="false">
      <c r="A41" s="29"/>
      <c r="B41" s="24"/>
      <c r="C41" s="24"/>
      <c r="D41" s="24"/>
      <c r="E41" s="24"/>
      <c r="F41" s="24"/>
    </row>
    <row r="42" customFormat="false" ht="22.5" hidden="false" customHeight="true" outlineLevel="0" collapsed="false">
      <c r="A42" s="29"/>
      <c r="B42" s="24"/>
      <c r="C42" s="24"/>
      <c r="D42" s="24"/>
      <c r="E42" s="24"/>
      <c r="F42" s="24"/>
    </row>
    <row r="43" customFormat="false" ht="22.5" hidden="false" customHeight="true" outlineLevel="0" collapsed="false">
      <c r="A43" s="29"/>
      <c r="B43" s="24"/>
      <c r="C43" s="24"/>
      <c r="D43" s="24"/>
      <c r="E43" s="24"/>
      <c r="F43" s="24"/>
    </row>
    <row r="44" customFormat="false" ht="22.5" hidden="false" customHeight="true" outlineLevel="0" collapsed="false">
      <c r="A44" s="29"/>
      <c r="B44" s="24"/>
      <c r="C44" s="24"/>
      <c r="D44" s="24"/>
      <c r="E44" s="24"/>
      <c r="F44" s="24"/>
    </row>
    <row r="45" customFormat="false" ht="22.5" hidden="false" customHeight="true" outlineLevel="0" collapsed="false">
      <c r="A45" s="29"/>
      <c r="B45" s="24"/>
      <c r="C45" s="24"/>
      <c r="D45" s="24"/>
      <c r="E45" s="24"/>
      <c r="F45" s="24"/>
    </row>
    <row r="46" customFormat="false" ht="22.5" hidden="false" customHeight="true" outlineLevel="0" collapsed="false">
      <c r="A46" s="29"/>
      <c r="B46" s="24"/>
      <c r="C46" s="24"/>
      <c r="D46" s="24"/>
      <c r="E46" s="24"/>
      <c r="F46" s="24"/>
    </row>
    <row r="47" customFormat="false" ht="22.5" hidden="false" customHeight="true" outlineLevel="0" collapsed="false">
      <c r="A47" s="29"/>
      <c r="B47" s="24"/>
      <c r="C47" s="24"/>
      <c r="D47" s="24"/>
      <c r="E47" s="24"/>
      <c r="F47" s="2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4.25"/>
    <col collapsed="false" customWidth="true" hidden="false" outlineLevel="0" max="3" min="3" style="1" width="33.88"/>
    <col collapsed="false" customWidth="true" hidden="false" outlineLevel="0" max="4" min="4" style="1" width="13.88"/>
    <col collapsed="false" customWidth="true" hidden="false" outlineLevel="0" max="6" min="5" style="1" width="22.63"/>
    <col collapsed="false" customWidth="true" hidden="false" outlineLevel="0" max="7" min="7" style="1" width="17.88"/>
  </cols>
  <sheetData>
    <row r="1" customFormat="false" ht="22.5" hidden="false" customHeight="true" outlineLevel="0" collapsed="false">
      <c r="A1" s="30" t="s">
        <v>369</v>
      </c>
      <c r="B1" s="30" t="s">
        <v>370</v>
      </c>
      <c r="C1" s="30" t="s">
        <v>371</v>
      </c>
      <c r="D1" s="30" t="s">
        <v>3</v>
      </c>
      <c r="E1" s="30" t="s">
        <v>4</v>
      </c>
      <c r="F1" s="30" t="s">
        <v>372</v>
      </c>
      <c r="G1" s="31" t="s">
        <v>410</v>
      </c>
    </row>
    <row r="2" customFormat="false" ht="22.5" hidden="false" customHeight="true" outlineLevel="0" collapsed="false">
      <c r="A2" s="18" t="s">
        <v>411</v>
      </c>
      <c r="B2" s="19" t="s">
        <v>412</v>
      </c>
      <c r="C2" s="19" t="s">
        <v>413</v>
      </c>
      <c r="D2" s="19" t="s">
        <v>414</v>
      </c>
      <c r="E2" s="19" t="s">
        <v>415</v>
      </c>
      <c r="F2" s="27"/>
      <c r="G2" s="19" t="s">
        <v>400</v>
      </c>
    </row>
    <row r="3" customFormat="false" ht="22.5" hidden="false" customHeight="true" outlineLevel="0" collapsed="false">
      <c r="A3" s="18" t="s">
        <v>401</v>
      </c>
      <c r="B3" s="19" t="s">
        <v>402</v>
      </c>
      <c r="C3" s="19" t="s">
        <v>403</v>
      </c>
      <c r="D3" s="19" t="s">
        <v>404</v>
      </c>
      <c r="E3" s="19" t="s">
        <v>405</v>
      </c>
      <c r="F3" s="27"/>
      <c r="G3" s="19" t="s">
        <v>400</v>
      </c>
    </row>
    <row r="4" customFormat="false" ht="22.5" hidden="false" customHeight="true" outlineLevel="0" collapsed="false">
      <c r="A4" s="18" t="s">
        <v>416</v>
      </c>
      <c r="B4" s="19" t="s">
        <v>417</v>
      </c>
      <c r="C4" s="19" t="s">
        <v>418</v>
      </c>
      <c r="D4" s="19" t="s">
        <v>110</v>
      </c>
      <c r="E4" s="19" t="s">
        <v>405</v>
      </c>
      <c r="F4" s="27"/>
      <c r="G4" s="19" t="s">
        <v>400</v>
      </c>
    </row>
    <row r="5" customFormat="false" ht="22.5" hidden="false" customHeight="true" outlineLevel="0" collapsed="false">
      <c r="A5" s="18" t="s">
        <v>419</v>
      </c>
      <c r="B5" s="19" t="s">
        <v>420</v>
      </c>
      <c r="C5" s="19" t="s">
        <v>421</v>
      </c>
      <c r="D5" s="19" t="s">
        <v>422</v>
      </c>
      <c r="E5" s="19" t="s">
        <v>405</v>
      </c>
      <c r="F5" s="27"/>
      <c r="G5" s="19" t="s">
        <v>400</v>
      </c>
    </row>
    <row r="6" customFormat="false" ht="22.5" hidden="false" customHeight="true" outlineLevel="0" collapsed="false">
      <c r="A6" s="18" t="s">
        <v>423</v>
      </c>
      <c r="B6" s="19" t="s">
        <v>424</v>
      </c>
      <c r="C6" s="19" t="s">
        <v>425</v>
      </c>
      <c r="D6" s="19" t="s">
        <v>426</v>
      </c>
      <c r="E6" s="19" t="s">
        <v>405</v>
      </c>
      <c r="F6" s="27"/>
      <c r="G6" s="19" t="s">
        <v>400</v>
      </c>
    </row>
    <row r="7" customFormat="false" ht="22.5" hidden="false" customHeight="true" outlineLevel="0" collapsed="false">
      <c r="A7" s="18" t="s">
        <v>427</v>
      </c>
      <c r="B7" s="19" t="s">
        <v>428</v>
      </c>
      <c r="C7" s="19" t="s">
        <v>429</v>
      </c>
      <c r="D7" s="19" t="s">
        <v>25</v>
      </c>
      <c r="E7" s="19" t="s">
        <v>405</v>
      </c>
      <c r="F7" s="27"/>
      <c r="G7" s="19" t="s">
        <v>400</v>
      </c>
    </row>
    <row r="8" customFormat="false" ht="22.5" hidden="false" customHeight="true" outlineLevel="0" collapsed="false">
      <c r="A8" s="18" t="s">
        <v>92</v>
      </c>
      <c r="B8" s="19" t="s">
        <v>93</v>
      </c>
      <c r="C8" s="19" t="s">
        <v>94</v>
      </c>
      <c r="D8" s="19" t="s">
        <v>217</v>
      </c>
      <c r="E8" s="19" t="s">
        <v>405</v>
      </c>
      <c r="F8" s="27"/>
      <c r="G8" s="19" t="s">
        <v>400</v>
      </c>
    </row>
    <row r="9" customFormat="false" ht="22.5" hidden="false" customHeight="true" outlineLevel="0" collapsed="false">
      <c r="A9" s="18" t="s">
        <v>430</v>
      </c>
      <c r="B9" s="19" t="s">
        <v>431</v>
      </c>
      <c r="C9" s="19" t="s">
        <v>432</v>
      </c>
      <c r="D9" s="19" t="s">
        <v>433</v>
      </c>
      <c r="E9" s="19" t="s">
        <v>405</v>
      </c>
      <c r="F9" s="27"/>
      <c r="G9" s="19" t="s">
        <v>400</v>
      </c>
    </row>
    <row r="10" customFormat="false" ht="22.5" hidden="false" customHeight="true" outlineLevel="0" collapsed="false">
      <c r="A10" s="18" t="s">
        <v>117</v>
      </c>
      <c r="B10" s="19" t="s">
        <v>434</v>
      </c>
      <c r="C10" s="19" t="s">
        <v>435</v>
      </c>
      <c r="D10" s="19" t="s">
        <v>39</v>
      </c>
      <c r="E10" s="19" t="s">
        <v>11</v>
      </c>
      <c r="F10" s="19"/>
      <c r="G10" s="19" t="s">
        <v>400</v>
      </c>
    </row>
    <row r="11" customFormat="false" ht="22.5" hidden="false" customHeight="true" outlineLevel="0" collapsed="false">
      <c r="A11" s="18" t="s">
        <v>436</v>
      </c>
      <c r="B11" s="19" t="s">
        <v>437</v>
      </c>
      <c r="C11" s="19" t="s">
        <v>438</v>
      </c>
      <c r="D11" s="19" t="s">
        <v>439</v>
      </c>
      <c r="E11" s="19" t="s">
        <v>11</v>
      </c>
      <c r="F11" s="19"/>
      <c r="G11" s="19" t="s">
        <v>400</v>
      </c>
    </row>
    <row r="12" customFormat="false" ht="22.5" hidden="false" customHeight="true" outlineLevel="0" collapsed="false">
      <c r="A12" s="29"/>
      <c r="B12" s="24"/>
      <c r="C12" s="24"/>
      <c r="D12" s="24"/>
      <c r="E12" s="24"/>
      <c r="F12" s="24"/>
      <c r="G12" s="24"/>
    </row>
    <row r="13" customFormat="false" ht="22.5" hidden="false" customHeight="true" outlineLevel="0" collapsed="false">
      <c r="A13" s="29"/>
      <c r="B13" s="24"/>
      <c r="C13" s="24"/>
      <c r="D13" s="24"/>
      <c r="E13" s="24"/>
      <c r="F13" s="24"/>
      <c r="G13" s="24"/>
    </row>
    <row r="14" customFormat="false" ht="22.5" hidden="false" customHeight="true" outlineLevel="0" collapsed="false">
      <c r="A14" s="29"/>
      <c r="B14" s="24"/>
      <c r="C14" s="24"/>
      <c r="D14" s="24"/>
      <c r="E14" s="24"/>
      <c r="F14" s="24"/>
      <c r="G14" s="24"/>
    </row>
    <row r="15" customFormat="false" ht="22.5" hidden="false" customHeight="true" outlineLevel="0" collapsed="false">
      <c r="A15" s="29"/>
      <c r="B15" s="24"/>
      <c r="C15" s="24"/>
      <c r="D15" s="24"/>
      <c r="E15" s="24"/>
      <c r="F15" s="24"/>
      <c r="G15" s="24"/>
    </row>
    <row r="16" customFormat="false" ht="22.5" hidden="false" customHeight="true" outlineLevel="0" collapsed="false">
      <c r="A16" s="29"/>
      <c r="B16" s="24"/>
      <c r="C16" s="24"/>
      <c r="D16" s="24"/>
      <c r="E16" s="24"/>
      <c r="F16" s="24"/>
      <c r="G16" s="24"/>
    </row>
    <row r="17" customFormat="false" ht="22.5" hidden="false" customHeight="true" outlineLevel="0" collapsed="false">
      <c r="A17" s="29"/>
      <c r="B17" s="24"/>
      <c r="C17" s="24"/>
      <c r="D17" s="24"/>
      <c r="E17" s="24"/>
      <c r="F17" s="24"/>
      <c r="G17" s="24"/>
    </row>
    <row r="18" customFormat="false" ht="22.5" hidden="false" customHeight="true" outlineLevel="0" collapsed="false">
      <c r="A18" s="29"/>
      <c r="B18" s="24"/>
      <c r="C18" s="24"/>
      <c r="D18" s="24"/>
      <c r="E18" s="24"/>
      <c r="F18" s="24"/>
      <c r="G18" s="24"/>
    </row>
    <row r="19" customFormat="false" ht="22.5" hidden="false" customHeight="true" outlineLevel="0" collapsed="false">
      <c r="A19" s="29"/>
      <c r="B19" s="24"/>
      <c r="C19" s="24"/>
      <c r="D19" s="24"/>
      <c r="E19" s="24"/>
      <c r="F19" s="24"/>
      <c r="G19" s="24"/>
    </row>
    <row r="20" customFormat="false" ht="22.5" hidden="false" customHeight="true" outlineLevel="0" collapsed="false">
      <c r="A20" s="29"/>
      <c r="B20" s="24"/>
      <c r="C20" s="24"/>
      <c r="D20" s="24"/>
      <c r="E20" s="24"/>
      <c r="F20" s="24"/>
      <c r="G20" s="24"/>
    </row>
    <row r="21" customFormat="false" ht="22.5" hidden="false" customHeight="true" outlineLevel="0" collapsed="false">
      <c r="A21" s="29"/>
      <c r="B21" s="24"/>
      <c r="C21" s="24"/>
      <c r="D21" s="24"/>
      <c r="E21" s="24"/>
      <c r="F21" s="24"/>
      <c r="G21" s="24"/>
    </row>
    <row r="22" customFormat="false" ht="22.5" hidden="false" customHeight="true" outlineLevel="0" collapsed="false">
      <c r="A22" s="29"/>
      <c r="B22" s="24"/>
      <c r="C22" s="24"/>
      <c r="D22" s="24"/>
      <c r="E22" s="24"/>
      <c r="F22" s="24"/>
      <c r="G22" s="24"/>
    </row>
    <row r="23" customFormat="false" ht="22.5" hidden="false" customHeight="true" outlineLevel="0" collapsed="false">
      <c r="A23" s="29"/>
      <c r="B23" s="24"/>
      <c r="C23" s="24"/>
      <c r="D23" s="24"/>
      <c r="E23" s="24"/>
      <c r="F23" s="24"/>
      <c r="G23" s="24"/>
    </row>
    <row r="24" customFormat="false" ht="22.5" hidden="false" customHeight="true" outlineLevel="0" collapsed="false">
      <c r="A24" s="29"/>
      <c r="B24" s="24"/>
      <c r="C24" s="24"/>
      <c r="D24" s="24"/>
      <c r="E24" s="24"/>
      <c r="F24" s="24"/>
      <c r="G24" s="24"/>
    </row>
    <row r="25" customFormat="false" ht="22.5" hidden="false" customHeight="true" outlineLevel="0" collapsed="false">
      <c r="A25" s="29"/>
      <c r="B25" s="24"/>
      <c r="C25" s="24"/>
      <c r="D25" s="24"/>
      <c r="E25" s="24"/>
      <c r="F25" s="24"/>
      <c r="G25" s="24"/>
    </row>
    <row r="26" customFormat="false" ht="22.5" hidden="false" customHeight="true" outlineLevel="0" collapsed="false">
      <c r="A26" s="29"/>
      <c r="B26" s="24"/>
      <c r="C26" s="24"/>
      <c r="D26" s="24"/>
      <c r="E26" s="24"/>
      <c r="F26" s="24"/>
      <c r="G26" s="24"/>
    </row>
    <row r="27" customFormat="false" ht="22.5" hidden="false" customHeight="true" outlineLevel="0" collapsed="false">
      <c r="A27" s="29"/>
      <c r="B27" s="24"/>
      <c r="C27" s="24"/>
      <c r="D27" s="24"/>
      <c r="E27" s="24"/>
      <c r="F27" s="24"/>
      <c r="G27" s="24"/>
    </row>
    <row r="28" customFormat="false" ht="22.5" hidden="false" customHeight="true" outlineLevel="0" collapsed="false">
      <c r="A28" s="29"/>
      <c r="B28" s="24"/>
      <c r="C28" s="24"/>
      <c r="D28" s="24"/>
      <c r="E28" s="24"/>
      <c r="F28" s="24"/>
      <c r="G28" s="24"/>
    </row>
    <row r="29" customFormat="false" ht="22.5" hidden="false" customHeight="true" outlineLevel="0" collapsed="false">
      <c r="A29" s="29"/>
      <c r="B29" s="24"/>
      <c r="C29" s="24"/>
      <c r="D29" s="24"/>
      <c r="E29" s="24"/>
      <c r="F29" s="24"/>
      <c r="G29" s="24"/>
    </row>
    <row r="30" customFormat="false" ht="22.5" hidden="false" customHeight="true" outlineLevel="0" collapsed="false">
      <c r="A30" s="29"/>
      <c r="B30" s="24"/>
      <c r="C30" s="24"/>
      <c r="D30" s="24"/>
      <c r="E30" s="24"/>
      <c r="F30" s="24"/>
      <c r="G30" s="24"/>
    </row>
    <row r="31" customFormat="false" ht="22.5" hidden="false" customHeight="true" outlineLevel="0" collapsed="false">
      <c r="A31" s="29"/>
      <c r="B31" s="24"/>
      <c r="C31" s="24"/>
      <c r="D31" s="24"/>
      <c r="E31" s="24"/>
      <c r="F31" s="24"/>
      <c r="G31" s="24"/>
    </row>
    <row r="32" customFormat="false" ht="22.5" hidden="false" customHeight="true" outlineLevel="0" collapsed="false">
      <c r="A32" s="29"/>
      <c r="B32" s="24"/>
      <c r="C32" s="24"/>
      <c r="D32" s="24"/>
      <c r="E32" s="24"/>
      <c r="F32" s="24"/>
      <c r="G32" s="24"/>
    </row>
    <row r="33" customFormat="false" ht="22.5" hidden="false" customHeight="true" outlineLevel="0" collapsed="false">
      <c r="A33" s="29"/>
      <c r="B33" s="24"/>
      <c r="C33" s="24"/>
      <c r="D33" s="24"/>
      <c r="E33" s="24"/>
      <c r="F33" s="24"/>
      <c r="G33" s="24"/>
    </row>
    <row r="34" customFormat="false" ht="22.5" hidden="false" customHeight="true" outlineLevel="0" collapsed="false">
      <c r="A34" s="29"/>
      <c r="B34" s="24"/>
      <c r="C34" s="24"/>
      <c r="D34" s="24"/>
      <c r="E34" s="24"/>
      <c r="F34" s="24"/>
      <c r="G34" s="24"/>
    </row>
    <row r="35" customFormat="false" ht="22.5" hidden="false" customHeight="true" outlineLevel="0" collapsed="false">
      <c r="A35" s="29"/>
      <c r="B35" s="24"/>
      <c r="C35" s="24"/>
      <c r="D35" s="24"/>
      <c r="E35" s="24"/>
      <c r="F35" s="24"/>
      <c r="G35" s="24"/>
    </row>
    <row r="36" customFormat="false" ht="22.5" hidden="false" customHeight="true" outlineLevel="0" collapsed="false">
      <c r="A36" s="29"/>
      <c r="B36" s="24"/>
      <c r="C36" s="24"/>
      <c r="D36" s="24"/>
      <c r="E36" s="24"/>
      <c r="F36" s="24"/>
      <c r="G36" s="24"/>
    </row>
    <row r="37" customFormat="false" ht="22.5" hidden="false" customHeight="true" outlineLevel="0" collapsed="false">
      <c r="A37" s="29"/>
      <c r="B37" s="24"/>
      <c r="C37" s="24"/>
      <c r="D37" s="24"/>
      <c r="E37" s="24"/>
      <c r="F37" s="24"/>
      <c r="G37" s="24"/>
    </row>
    <row r="38" customFormat="false" ht="22.5" hidden="false" customHeight="true" outlineLevel="0" collapsed="false">
      <c r="A38" s="29"/>
      <c r="B38" s="24"/>
      <c r="C38" s="24"/>
      <c r="D38" s="24"/>
      <c r="E38" s="24"/>
      <c r="F38" s="24"/>
      <c r="G38" s="24"/>
    </row>
    <row r="39" customFormat="false" ht="22.5" hidden="false" customHeight="true" outlineLevel="0" collapsed="false">
      <c r="A39" s="29"/>
      <c r="B39" s="24"/>
      <c r="C39" s="24"/>
      <c r="D39" s="24"/>
      <c r="E39" s="24"/>
      <c r="F39" s="24"/>
      <c r="G39" s="24"/>
    </row>
    <row r="40" customFormat="false" ht="22.5" hidden="false" customHeight="true" outlineLevel="0" collapsed="false">
      <c r="A40" s="29"/>
      <c r="B40" s="24"/>
      <c r="C40" s="24"/>
      <c r="D40" s="24"/>
      <c r="E40" s="24"/>
      <c r="F40" s="24"/>
      <c r="G40" s="24"/>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5.25"/>
    <col collapsed="false" customWidth="true" hidden="false" outlineLevel="0" max="3" min="3" style="1" width="33.75"/>
    <col collapsed="false" customWidth="true" hidden="false" outlineLevel="0" max="4" min="4" style="1" width="14.75"/>
    <col collapsed="false" customWidth="true" hidden="false" outlineLevel="0" max="6" min="5" style="1" width="22.63"/>
    <col collapsed="false" customWidth="true" hidden="false" outlineLevel="0" max="7" min="7" style="1" width="35.25"/>
  </cols>
  <sheetData>
    <row r="1" customFormat="false" ht="22.5" hidden="false" customHeight="true" outlineLevel="0" collapsed="false">
      <c r="A1" s="2" t="s">
        <v>65</v>
      </c>
      <c r="B1" s="3" t="s">
        <v>1</v>
      </c>
      <c r="C1" s="3" t="s">
        <v>2</v>
      </c>
      <c r="D1" s="3" t="s">
        <v>3</v>
      </c>
      <c r="E1" s="3" t="s">
        <v>4</v>
      </c>
      <c r="F1" s="3" t="s">
        <v>5</v>
      </c>
      <c r="G1" s="4" t="s">
        <v>440</v>
      </c>
    </row>
    <row r="2" customFormat="false" ht="22.5" hidden="false" customHeight="true" outlineLevel="0" collapsed="false">
      <c r="A2" s="7" t="s">
        <v>441</v>
      </c>
      <c r="B2" s="7" t="s">
        <v>442</v>
      </c>
      <c r="C2" s="7" t="s">
        <v>443</v>
      </c>
      <c r="D2" s="7" t="s">
        <v>444</v>
      </c>
      <c r="E2" s="7" t="s">
        <v>11</v>
      </c>
      <c r="F2" s="7"/>
      <c r="G2" s="7" t="s">
        <v>74</v>
      </c>
    </row>
    <row r="3" customFormat="false" ht="22.5" hidden="true" customHeight="true" outlineLevel="0" collapsed="false">
      <c r="A3" s="11" t="s">
        <v>445</v>
      </c>
      <c r="B3" s="11" t="s">
        <v>285</v>
      </c>
      <c r="C3" s="11" t="s">
        <v>285</v>
      </c>
      <c r="D3" s="11" t="s">
        <v>285</v>
      </c>
      <c r="E3" s="11" t="s">
        <v>11</v>
      </c>
      <c r="F3" s="11"/>
      <c r="G3" s="11"/>
    </row>
    <row r="4" customFormat="false" ht="22.5" hidden="true" customHeight="true" outlineLevel="0" collapsed="false">
      <c r="A4" s="11" t="s">
        <v>446</v>
      </c>
      <c r="B4" s="11" t="s">
        <v>447</v>
      </c>
      <c r="C4" s="11" t="s">
        <v>448</v>
      </c>
      <c r="D4" s="11" t="s">
        <v>217</v>
      </c>
      <c r="E4" s="11" t="s">
        <v>11</v>
      </c>
      <c r="F4" s="11"/>
      <c r="G4" s="11"/>
    </row>
    <row r="5" customFormat="false" ht="22.5" hidden="false" customHeight="true" outlineLevel="0" collapsed="false">
      <c r="A5" s="7" t="s">
        <v>449</v>
      </c>
      <c r="B5" s="7" t="s">
        <v>450</v>
      </c>
      <c r="C5" s="7" t="s">
        <v>451</v>
      </c>
      <c r="D5" s="7" t="s">
        <v>452</v>
      </c>
      <c r="E5" s="7" t="s">
        <v>11</v>
      </c>
      <c r="F5" s="7"/>
      <c r="G5" s="7" t="s">
        <v>74</v>
      </c>
    </row>
    <row r="6" customFormat="false" ht="22.5" hidden="true" customHeight="true" outlineLevel="0" collapsed="false">
      <c r="A6" s="11" t="s">
        <v>453</v>
      </c>
      <c r="B6" s="11" t="s">
        <v>454</v>
      </c>
      <c r="C6" s="11" t="s">
        <v>455</v>
      </c>
      <c r="D6" s="11" t="s">
        <v>456</v>
      </c>
      <c r="E6" s="11" t="s">
        <v>11</v>
      </c>
      <c r="F6" s="11"/>
      <c r="G6" s="11" t="s">
        <v>457</v>
      </c>
    </row>
    <row r="7" customFormat="false" ht="22.5" hidden="false" customHeight="true" outlineLevel="0" collapsed="false">
      <c r="A7" s="7" t="s">
        <v>458</v>
      </c>
      <c r="B7" s="7" t="s">
        <v>459</v>
      </c>
      <c r="C7" s="7" t="s">
        <v>460</v>
      </c>
      <c r="D7" s="7" t="s">
        <v>461</v>
      </c>
      <c r="E7" s="7" t="s">
        <v>11</v>
      </c>
      <c r="F7" s="7"/>
      <c r="G7" s="7" t="s">
        <v>74</v>
      </c>
    </row>
    <row r="8" customFormat="false" ht="22.5" hidden="false" customHeight="true" outlineLevel="0" collapsed="false">
      <c r="A8" s="7" t="s">
        <v>462</v>
      </c>
      <c r="B8" s="7" t="s">
        <v>463</v>
      </c>
      <c r="C8" s="7" t="s">
        <v>464</v>
      </c>
      <c r="D8" s="7" t="s">
        <v>465</v>
      </c>
      <c r="E8" s="7" t="s">
        <v>11</v>
      </c>
      <c r="F8" s="7"/>
      <c r="G8" s="7" t="s">
        <v>74</v>
      </c>
    </row>
    <row r="9" customFormat="false" ht="22.5" hidden="true" customHeight="true" outlineLevel="0" collapsed="false">
      <c r="A9" s="10" t="s">
        <v>411</v>
      </c>
      <c r="B9" s="10" t="s">
        <v>412</v>
      </c>
      <c r="C9" s="10" t="s">
        <v>413</v>
      </c>
      <c r="D9" s="10" t="s">
        <v>466</v>
      </c>
      <c r="E9" s="10" t="s">
        <v>11</v>
      </c>
      <c r="F9" s="10"/>
      <c r="G9" s="10" t="s">
        <v>409</v>
      </c>
    </row>
    <row r="10" customFormat="false" ht="22.5" hidden="true" customHeight="true" outlineLevel="0" collapsed="false">
      <c r="A10" s="11" t="s">
        <v>467</v>
      </c>
      <c r="B10" s="11" t="s">
        <v>468</v>
      </c>
      <c r="C10" s="11" t="s">
        <v>469</v>
      </c>
      <c r="D10" s="11" t="s">
        <v>470</v>
      </c>
      <c r="E10" s="11" t="s">
        <v>11</v>
      </c>
      <c r="F10" s="11"/>
      <c r="G10" s="11" t="s">
        <v>471</v>
      </c>
    </row>
    <row r="11" customFormat="false" ht="22.5" hidden="false" customHeight="true" outlineLevel="0" collapsed="false">
      <c r="A11" s="7" t="s">
        <v>472</v>
      </c>
      <c r="B11" s="7" t="s">
        <v>473</v>
      </c>
      <c r="C11" s="7" t="s">
        <v>474</v>
      </c>
      <c r="D11" s="7" t="s">
        <v>475</v>
      </c>
      <c r="E11" s="7" t="s">
        <v>11</v>
      </c>
      <c r="F11" s="7"/>
      <c r="G11" s="7" t="s">
        <v>74</v>
      </c>
    </row>
    <row r="12" customFormat="false" ht="22.5" hidden="false" customHeight="true" outlineLevel="0" collapsed="false">
      <c r="A12" s="7" t="s">
        <v>476</v>
      </c>
      <c r="B12" s="7" t="s">
        <v>477</v>
      </c>
      <c r="C12" s="7" t="s">
        <v>478</v>
      </c>
      <c r="D12" s="7" t="s">
        <v>479</v>
      </c>
      <c r="E12" s="7" t="s">
        <v>11</v>
      </c>
      <c r="F12" s="7"/>
      <c r="G12" s="7" t="s">
        <v>74</v>
      </c>
    </row>
    <row r="13" customFormat="false" ht="22.5" hidden="false" customHeight="true" outlineLevel="0" collapsed="false">
      <c r="A13" s="7" t="s">
        <v>480</v>
      </c>
      <c r="B13" s="7" t="s">
        <v>481</v>
      </c>
      <c r="C13" s="7" t="s">
        <v>482</v>
      </c>
      <c r="D13" s="7" t="s">
        <v>483</v>
      </c>
      <c r="E13" s="7" t="s">
        <v>11</v>
      </c>
      <c r="F13" s="7"/>
      <c r="G13" s="7" t="s">
        <v>74</v>
      </c>
    </row>
    <row r="14" customFormat="false" ht="22.5" hidden="false" customHeight="true" outlineLevel="0" collapsed="false">
      <c r="A14" s="7" t="s">
        <v>484</v>
      </c>
      <c r="B14" s="7" t="s">
        <v>485</v>
      </c>
      <c r="C14" s="7" t="s">
        <v>486</v>
      </c>
      <c r="D14" s="7" t="s">
        <v>487</v>
      </c>
      <c r="E14" s="7" t="s">
        <v>11</v>
      </c>
      <c r="F14" s="7"/>
      <c r="G14" s="7" t="s">
        <v>74</v>
      </c>
    </row>
    <row r="15" customFormat="false" ht="22.5" hidden="true" customHeight="true" outlineLevel="0" collapsed="false">
      <c r="A15" s="11" t="s">
        <v>488</v>
      </c>
      <c r="B15" s="11" t="s">
        <v>489</v>
      </c>
      <c r="C15" s="11" t="s">
        <v>490</v>
      </c>
      <c r="D15" s="11" t="s">
        <v>491</v>
      </c>
      <c r="E15" s="11" t="s">
        <v>11</v>
      </c>
      <c r="F15" s="11"/>
      <c r="G15" s="11" t="s">
        <v>492</v>
      </c>
    </row>
    <row r="16" customFormat="false" ht="22.5" hidden="true" customHeight="true" outlineLevel="0" collapsed="false">
      <c r="A16" s="11" t="s">
        <v>493</v>
      </c>
      <c r="B16" s="11" t="s">
        <v>494</v>
      </c>
      <c r="C16" s="11" t="s">
        <v>495</v>
      </c>
      <c r="D16" s="11" t="s">
        <v>496</v>
      </c>
      <c r="E16" s="11" t="s">
        <v>11</v>
      </c>
      <c r="F16" s="11"/>
      <c r="G16" s="11"/>
    </row>
    <row r="17" customFormat="false" ht="22.5" hidden="true" customHeight="true" outlineLevel="0" collapsed="false">
      <c r="A17" s="11" t="s">
        <v>497</v>
      </c>
      <c r="B17" s="11" t="s">
        <v>285</v>
      </c>
      <c r="C17" s="11" t="s">
        <v>285</v>
      </c>
      <c r="D17" s="11" t="s">
        <v>285</v>
      </c>
      <c r="E17" s="11" t="s">
        <v>11</v>
      </c>
      <c r="F17" s="11"/>
      <c r="G17" s="11"/>
    </row>
    <row r="18" customFormat="false" ht="22.5" hidden="true" customHeight="true" outlineLevel="0" collapsed="false">
      <c r="A18" s="11" t="s">
        <v>498</v>
      </c>
      <c r="B18" s="11" t="s">
        <v>499</v>
      </c>
      <c r="C18" s="11" t="s">
        <v>500</v>
      </c>
      <c r="D18" s="11" t="s">
        <v>501</v>
      </c>
      <c r="E18" s="11" t="s">
        <v>11</v>
      </c>
      <c r="F18" s="11"/>
      <c r="G18" s="11" t="s">
        <v>502</v>
      </c>
    </row>
    <row r="19" customFormat="false" ht="22.5" hidden="true" customHeight="true" outlineLevel="0" collapsed="false">
      <c r="A19" s="11" t="s">
        <v>503</v>
      </c>
      <c r="B19" s="11" t="s">
        <v>504</v>
      </c>
      <c r="C19" s="11" t="s">
        <v>505</v>
      </c>
      <c r="D19" s="11" t="s">
        <v>27</v>
      </c>
      <c r="E19" s="11" t="s">
        <v>11</v>
      </c>
      <c r="F19" s="11"/>
      <c r="G19" s="11"/>
    </row>
    <row r="20" customFormat="false" ht="22.5" hidden="false" customHeight="true" outlineLevel="0" collapsed="false">
      <c r="A20" s="7" t="s">
        <v>506</v>
      </c>
      <c r="B20" s="7" t="s">
        <v>507</v>
      </c>
      <c r="C20" s="7" t="s">
        <v>508</v>
      </c>
      <c r="D20" s="32" t="n">
        <v>192168240208</v>
      </c>
      <c r="E20" s="7" t="s">
        <v>11</v>
      </c>
      <c r="F20" s="7"/>
      <c r="G20" s="7" t="s">
        <v>74</v>
      </c>
    </row>
    <row r="21" customFormat="false" ht="22.5" hidden="true" customHeight="true" outlineLevel="0" collapsed="false">
      <c r="A21" s="11" t="s">
        <v>509</v>
      </c>
      <c r="B21" s="11" t="s">
        <v>285</v>
      </c>
      <c r="C21" s="11" t="s">
        <v>285</v>
      </c>
      <c r="D21" s="11" t="s">
        <v>285</v>
      </c>
      <c r="E21" s="11" t="s">
        <v>11</v>
      </c>
      <c r="F21" s="11"/>
      <c r="G21" s="11"/>
    </row>
    <row r="22" customFormat="false" ht="22.5" hidden="false" customHeight="true" outlineLevel="0" collapsed="false">
      <c r="A22" s="7" t="s">
        <v>510</v>
      </c>
      <c r="B22" s="7" t="s">
        <v>511</v>
      </c>
      <c r="C22" s="7" t="s">
        <v>512</v>
      </c>
      <c r="D22" s="7" t="s">
        <v>513</v>
      </c>
      <c r="E22" s="7" t="s">
        <v>11</v>
      </c>
      <c r="F22" s="7"/>
      <c r="G22" s="7" t="s">
        <v>74</v>
      </c>
    </row>
    <row r="23" customFormat="false" ht="22.5" hidden="false" customHeight="true" outlineLevel="0" collapsed="false">
      <c r="A23" s="7" t="s">
        <v>514</v>
      </c>
      <c r="B23" s="7" t="s">
        <v>515</v>
      </c>
      <c r="C23" s="7" t="s">
        <v>516</v>
      </c>
      <c r="D23" s="7" t="s">
        <v>517</v>
      </c>
      <c r="E23" s="7" t="s">
        <v>11</v>
      </c>
      <c r="F23" s="7"/>
      <c r="G23" s="7" t="s">
        <v>74</v>
      </c>
    </row>
    <row r="24" customFormat="false" ht="22.5" hidden="true" customHeight="true" outlineLevel="0" collapsed="false">
      <c r="A24" s="11" t="s">
        <v>518</v>
      </c>
      <c r="B24" s="11" t="s">
        <v>519</v>
      </c>
      <c r="C24" s="11" t="s">
        <v>520</v>
      </c>
      <c r="D24" s="11" t="s">
        <v>521</v>
      </c>
      <c r="E24" s="11" t="s">
        <v>11</v>
      </c>
      <c r="F24" s="11"/>
      <c r="G24" s="11"/>
    </row>
    <row r="25" customFormat="false" ht="22.5" hidden="true" customHeight="true" outlineLevel="0" collapsed="false">
      <c r="A25" s="11" t="s">
        <v>7</v>
      </c>
      <c r="B25" s="11" t="s">
        <v>8</v>
      </c>
      <c r="C25" s="11" t="s">
        <v>9</v>
      </c>
      <c r="D25" s="11" t="s">
        <v>496</v>
      </c>
      <c r="E25" s="11" t="s">
        <v>11</v>
      </c>
      <c r="F25" s="11"/>
      <c r="G25" s="11" t="s">
        <v>522</v>
      </c>
    </row>
    <row r="26" customFormat="false" ht="22.5" hidden="true" customHeight="true" outlineLevel="0" collapsed="false">
      <c r="A26" s="11" t="s">
        <v>523</v>
      </c>
      <c r="B26" s="11" t="s">
        <v>524</v>
      </c>
      <c r="C26" s="11" t="s">
        <v>525</v>
      </c>
      <c r="D26" s="11" t="s">
        <v>526</v>
      </c>
      <c r="E26" s="11" t="s">
        <v>11</v>
      </c>
      <c r="F26" s="11"/>
      <c r="G26" s="11"/>
    </row>
    <row r="27" customFormat="false" ht="22.5" hidden="true" customHeight="true" outlineLevel="0" collapsed="false">
      <c r="A27" s="11" t="s">
        <v>527</v>
      </c>
      <c r="B27" s="11" t="s">
        <v>528</v>
      </c>
      <c r="C27" s="11" t="s">
        <v>529</v>
      </c>
      <c r="D27" s="11" t="s">
        <v>530</v>
      </c>
      <c r="E27" s="11" t="s">
        <v>11</v>
      </c>
      <c r="F27" s="11"/>
      <c r="G27" s="11" t="s">
        <v>531</v>
      </c>
    </row>
    <row r="28" customFormat="false" ht="22.5" hidden="true" customHeight="true" outlineLevel="0" collapsed="false">
      <c r="A28" s="11" t="s">
        <v>532</v>
      </c>
      <c r="B28" s="11" t="s">
        <v>533</v>
      </c>
      <c r="C28" s="11" t="s">
        <v>534</v>
      </c>
      <c r="D28" s="11" t="s">
        <v>535</v>
      </c>
      <c r="E28" s="11" t="s">
        <v>11</v>
      </c>
      <c r="F28" s="11"/>
      <c r="G28" s="11" t="s">
        <v>536</v>
      </c>
    </row>
    <row r="29" customFormat="false" ht="22.5" hidden="false" customHeight="true" outlineLevel="0" collapsed="false">
      <c r="A29" s="7" t="s">
        <v>537</v>
      </c>
      <c r="B29" s="7" t="s">
        <v>538</v>
      </c>
      <c r="C29" s="7" t="s">
        <v>539</v>
      </c>
      <c r="D29" s="7" t="s">
        <v>289</v>
      </c>
      <c r="E29" s="7" t="s">
        <v>11</v>
      </c>
      <c r="F29" s="7"/>
      <c r="G29" s="7" t="s">
        <v>74</v>
      </c>
    </row>
    <row r="30" customFormat="false" ht="22.5" hidden="false" customHeight="true" outlineLevel="0" collapsed="false">
      <c r="A30" s="7" t="s">
        <v>540</v>
      </c>
      <c r="B30" s="7" t="s">
        <v>541</v>
      </c>
      <c r="C30" s="7" t="s">
        <v>542</v>
      </c>
      <c r="D30" s="7" t="s">
        <v>543</v>
      </c>
      <c r="E30" s="7" t="s">
        <v>11</v>
      </c>
      <c r="F30" s="7"/>
      <c r="G30" s="7" t="s">
        <v>74</v>
      </c>
    </row>
    <row r="31" customFormat="false" ht="22.5" hidden="false" customHeight="true" outlineLevel="0" collapsed="false">
      <c r="A31" s="7" t="s">
        <v>544</v>
      </c>
      <c r="B31" s="7" t="s">
        <v>545</v>
      </c>
      <c r="C31" s="7" t="s">
        <v>546</v>
      </c>
      <c r="D31" s="32" t="n">
        <v>192168240143</v>
      </c>
      <c r="E31" s="7" t="s">
        <v>11</v>
      </c>
      <c r="F31" s="7"/>
      <c r="G31" s="7" t="s">
        <v>74</v>
      </c>
    </row>
    <row r="32" customFormat="false" ht="22.5" hidden="false" customHeight="true" outlineLevel="0" collapsed="false">
      <c r="A32" s="7" t="s">
        <v>547</v>
      </c>
      <c r="B32" s="7" t="s">
        <v>548</v>
      </c>
      <c r="C32" s="7" t="s">
        <v>549</v>
      </c>
      <c r="D32" s="7" t="s">
        <v>550</v>
      </c>
      <c r="E32" s="7" t="s">
        <v>11</v>
      </c>
      <c r="F32" s="7"/>
      <c r="G32" s="7" t="s">
        <v>74</v>
      </c>
    </row>
    <row r="33" customFormat="false" ht="22.5" hidden="false" customHeight="true" outlineLevel="0" collapsed="false">
      <c r="A33" s="7" t="s">
        <v>551</v>
      </c>
      <c r="B33" s="7" t="s">
        <v>552</v>
      </c>
      <c r="C33" s="7" t="s">
        <v>553</v>
      </c>
      <c r="D33" s="7" t="s">
        <v>554</v>
      </c>
      <c r="E33" s="7" t="s">
        <v>11</v>
      </c>
      <c r="F33" s="7"/>
      <c r="G33" s="7" t="s">
        <v>74</v>
      </c>
    </row>
    <row r="34" customFormat="false" ht="22.5" hidden="false" customHeight="true" outlineLevel="0" collapsed="false">
      <c r="A34" s="7" t="s">
        <v>555</v>
      </c>
      <c r="B34" s="7" t="s">
        <v>556</v>
      </c>
      <c r="C34" s="7" t="s">
        <v>557</v>
      </c>
      <c r="D34" s="7" t="s">
        <v>558</v>
      </c>
      <c r="E34" s="7" t="s">
        <v>11</v>
      </c>
      <c r="F34" s="7"/>
      <c r="G34" s="7" t="s">
        <v>74</v>
      </c>
    </row>
    <row r="35" customFormat="false" ht="22.5" hidden="false" customHeight="true" outlineLevel="0" collapsed="false">
      <c r="A35" s="7" t="s">
        <v>559</v>
      </c>
      <c r="B35" s="7" t="s">
        <v>560</v>
      </c>
      <c r="C35" s="7" t="s">
        <v>561</v>
      </c>
      <c r="D35" s="7" t="s">
        <v>562</v>
      </c>
      <c r="E35" s="7" t="s">
        <v>11</v>
      </c>
      <c r="F35" s="7"/>
      <c r="G35" s="7" t="s">
        <v>74</v>
      </c>
    </row>
    <row r="36" customFormat="false" ht="22.5" hidden="true" customHeight="true" outlineLevel="0" collapsed="false">
      <c r="A36" s="11" t="s">
        <v>563</v>
      </c>
      <c r="B36" s="11" t="s">
        <v>285</v>
      </c>
      <c r="C36" s="11" t="s">
        <v>285</v>
      </c>
      <c r="D36" s="11" t="s">
        <v>285</v>
      </c>
      <c r="E36" s="11" t="s">
        <v>11</v>
      </c>
      <c r="F36" s="11"/>
      <c r="G36" s="11"/>
    </row>
    <row r="37" customFormat="false" ht="22.5" hidden="false" customHeight="true" outlineLevel="0" collapsed="false">
      <c r="A37" s="7" t="s">
        <v>564</v>
      </c>
      <c r="B37" s="7" t="s">
        <v>565</v>
      </c>
      <c r="C37" s="7" t="s">
        <v>566</v>
      </c>
      <c r="D37" s="32" t="n">
        <v>192168134201</v>
      </c>
      <c r="E37" s="7" t="s">
        <v>11</v>
      </c>
      <c r="F37" s="7"/>
      <c r="G37" s="7" t="s">
        <v>74</v>
      </c>
    </row>
    <row r="38" customFormat="false" ht="22.5" hidden="false" customHeight="true" outlineLevel="0" collapsed="false">
      <c r="A38" s="7" t="s">
        <v>567</v>
      </c>
      <c r="B38" s="7" t="s">
        <v>568</v>
      </c>
      <c r="C38" s="7" t="s">
        <v>569</v>
      </c>
      <c r="D38" s="7" t="s">
        <v>570</v>
      </c>
      <c r="E38" s="7" t="s">
        <v>11</v>
      </c>
      <c r="F38" s="7"/>
      <c r="G38" s="7" t="s">
        <v>74</v>
      </c>
    </row>
    <row r="39" customFormat="false" ht="22.5" hidden="true" customHeight="true" outlineLevel="0" collapsed="false">
      <c r="A39" s="11" t="s">
        <v>391</v>
      </c>
      <c r="B39" s="11" t="s">
        <v>285</v>
      </c>
      <c r="C39" s="11" t="s">
        <v>285</v>
      </c>
      <c r="D39" s="11" t="s">
        <v>285</v>
      </c>
      <c r="E39" s="11" t="s">
        <v>11</v>
      </c>
      <c r="F39" s="11"/>
      <c r="G39" s="11"/>
    </row>
    <row r="40" customFormat="false" ht="22.5" hidden="true" customHeight="true" outlineLevel="0" collapsed="false">
      <c r="A40" s="11" t="s">
        <v>571</v>
      </c>
      <c r="B40" s="11" t="s">
        <v>285</v>
      </c>
      <c r="C40" s="11" t="s">
        <v>285</v>
      </c>
      <c r="D40" s="11" t="s">
        <v>285</v>
      </c>
      <c r="E40" s="11" t="s">
        <v>11</v>
      </c>
      <c r="F40" s="11"/>
      <c r="G40" s="11"/>
    </row>
    <row r="41" customFormat="false" ht="22.5" hidden="true" customHeight="true" outlineLevel="0" collapsed="false">
      <c r="A41" s="11" t="s">
        <v>22</v>
      </c>
      <c r="B41" s="11" t="s">
        <v>572</v>
      </c>
      <c r="C41" s="11" t="s">
        <v>24</v>
      </c>
      <c r="D41" s="11" t="s">
        <v>86</v>
      </c>
      <c r="E41" s="11" t="s">
        <v>11</v>
      </c>
      <c r="F41" s="11"/>
      <c r="G41" s="11"/>
    </row>
    <row r="42" customFormat="false" ht="22.5" hidden="false" customHeight="true" outlineLevel="0" collapsed="false">
      <c r="A42" s="7" t="s">
        <v>573</v>
      </c>
      <c r="B42" s="7" t="s">
        <v>574</v>
      </c>
      <c r="C42" s="7" t="s">
        <v>575</v>
      </c>
      <c r="D42" s="7" t="s">
        <v>576</v>
      </c>
      <c r="E42" s="7" t="s">
        <v>11</v>
      </c>
      <c r="F42" s="7"/>
      <c r="G42" s="7" t="s">
        <v>74</v>
      </c>
    </row>
    <row r="43" customFormat="false" ht="22.5" hidden="true" customHeight="true" outlineLevel="0" collapsed="false">
      <c r="A43" s="11" t="s">
        <v>577</v>
      </c>
      <c r="B43" s="11" t="s">
        <v>578</v>
      </c>
      <c r="C43" s="11" t="s">
        <v>579</v>
      </c>
      <c r="D43" s="11" t="s">
        <v>580</v>
      </c>
      <c r="E43" s="11" t="s">
        <v>11</v>
      </c>
      <c r="F43" s="11"/>
      <c r="G43" s="11" t="s">
        <v>581</v>
      </c>
    </row>
    <row r="44" customFormat="false" ht="22.5" hidden="false" customHeight="true" outlineLevel="0" collapsed="false">
      <c r="A44" s="7" t="s">
        <v>582</v>
      </c>
      <c r="B44" s="7" t="s">
        <v>583</v>
      </c>
      <c r="C44" s="7" t="s">
        <v>584</v>
      </c>
      <c r="D44" s="7" t="s">
        <v>585</v>
      </c>
      <c r="E44" s="7" t="s">
        <v>11</v>
      </c>
      <c r="F44" s="7"/>
      <c r="G44" s="7" t="s">
        <v>74</v>
      </c>
    </row>
    <row r="45" customFormat="false" ht="22.5" hidden="true" customHeight="true" outlineLevel="0" collapsed="false">
      <c r="A45" s="11" t="s">
        <v>586</v>
      </c>
      <c r="B45" s="11" t="s">
        <v>587</v>
      </c>
      <c r="C45" s="11" t="s">
        <v>588</v>
      </c>
      <c r="D45" s="11" t="s">
        <v>589</v>
      </c>
      <c r="E45" s="11" t="s">
        <v>11</v>
      </c>
      <c r="F45" s="11"/>
      <c r="G45" s="11"/>
    </row>
    <row r="46" customFormat="false" ht="22.5" hidden="false" customHeight="true" outlineLevel="0" collapsed="false">
      <c r="A46" s="7" t="s">
        <v>590</v>
      </c>
      <c r="B46" s="7" t="s">
        <v>591</v>
      </c>
      <c r="C46" s="7" t="s">
        <v>592</v>
      </c>
      <c r="D46" s="7" t="s">
        <v>593</v>
      </c>
      <c r="E46" s="7" t="s">
        <v>11</v>
      </c>
      <c r="F46" s="7"/>
      <c r="G46" s="7" t="s">
        <v>74</v>
      </c>
    </row>
    <row r="47" customFormat="false" ht="22.5" hidden="false" customHeight="true" outlineLevel="0" collapsed="false">
      <c r="A47" s="7" t="s">
        <v>594</v>
      </c>
      <c r="B47" s="7" t="s">
        <v>595</v>
      </c>
      <c r="C47" s="7" t="s">
        <v>596</v>
      </c>
      <c r="D47" s="7" t="s">
        <v>597</v>
      </c>
      <c r="E47" s="7" t="s">
        <v>11</v>
      </c>
      <c r="F47" s="7"/>
      <c r="G47" s="7" t="s">
        <v>74</v>
      </c>
    </row>
    <row r="48" customFormat="false" ht="22.5" hidden="false" customHeight="true" outlineLevel="0" collapsed="false">
      <c r="A48" s="7" t="s">
        <v>598</v>
      </c>
      <c r="B48" s="7" t="s">
        <v>599</v>
      </c>
      <c r="C48" s="7" t="s">
        <v>600</v>
      </c>
      <c r="D48" s="7" t="s">
        <v>601</v>
      </c>
      <c r="E48" s="7" t="s">
        <v>11</v>
      </c>
      <c r="F48" s="7"/>
      <c r="G48" s="7" t="s">
        <v>74</v>
      </c>
    </row>
    <row r="49" customFormat="false" ht="22.5" hidden="true" customHeight="true" outlineLevel="0" collapsed="false">
      <c r="A49" s="11" t="s">
        <v>602</v>
      </c>
      <c r="B49" s="11" t="s">
        <v>603</v>
      </c>
      <c r="C49" s="11" t="s">
        <v>604</v>
      </c>
      <c r="D49" s="11" t="s">
        <v>605</v>
      </c>
      <c r="E49" s="11" t="s">
        <v>11</v>
      </c>
      <c r="F49" s="11"/>
      <c r="G49" s="11"/>
    </row>
    <row r="50" customFormat="false" ht="22.5" hidden="true" customHeight="true" outlineLevel="0" collapsed="false">
      <c r="A50" s="11" t="s">
        <v>606</v>
      </c>
      <c r="B50" s="11" t="s">
        <v>607</v>
      </c>
      <c r="C50" s="11" t="s">
        <v>608</v>
      </c>
      <c r="D50" s="11" t="s">
        <v>609</v>
      </c>
      <c r="E50" s="11" t="s">
        <v>11</v>
      </c>
      <c r="F50" s="11"/>
      <c r="G50" s="11"/>
    </row>
    <row r="51" customFormat="false" ht="22.5" hidden="false" customHeight="true" outlineLevel="0" collapsed="false">
      <c r="A51" s="7" t="s">
        <v>610</v>
      </c>
      <c r="B51" s="7" t="s">
        <v>611</v>
      </c>
      <c r="C51" s="7" t="s">
        <v>612</v>
      </c>
      <c r="D51" s="7" t="s">
        <v>613</v>
      </c>
      <c r="E51" s="7" t="s">
        <v>11</v>
      </c>
      <c r="F51" s="7"/>
      <c r="G51" s="7" t="s">
        <v>74</v>
      </c>
    </row>
    <row r="52" customFormat="false" ht="22.5" hidden="false" customHeight="true" outlineLevel="0" collapsed="false">
      <c r="A52" s="7" t="s">
        <v>303</v>
      </c>
      <c r="B52" s="7" t="s">
        <v>304</v>
      </c>
      <c r="C52" s="7" t="s">
        <v>305</v>
      </c>
      <c r="D52" s="7" t="s">
        <v>614</v>
      </c>
      <c r="E52" s="7" t="s">
        <v>11</v>
      </c>
      <c r="F52" s="7" t="s">
        <v>74</v>
      </c>
      <c r="G52" s="7" t="s">
        <v>74</v>
      </c>
    </row>
    <row r="53" customFormat="false" ht="22.5" hidden="false" customHeight="true" outlineLevel="0" collapsed="false">
      <c r="A53" s="7" t="s">
        <v>361</v>
      </c>
      <c r="B53" s="7" t="s">
        <v>362</v>
      </c>
      <c r="C53" s="7" t="s">
        <v>363</v>
      </c>
      <c r="D53" s="7" t="s">
        <v>615</v>
      </c>
      <c r="E53" s="7" t="s">
        <v>11</v>
      </c>
      <c r="F53" s="7" t="s">
        <v>74</v>
      </c>
      <c r="G53" s="7" t="s">
        <v>74</v>
      </c>
    </row>
    <row r="54" customFormat="false" ht="22.5" hidden="false" customHeight="true" outlineLevel="0" collapsed="false">
      <c r="A54" s="7" t="s">
        <v>264</v>
      </c>
      <c r="B54" s="7" t="s">
        <v>265</v>
      </c>
      <c r="C54" s="7" t="s">
        <v>266</v>
      </c>
      <c r="D54" s="7" t="s">
        <v>616</v>
      </c>
      <c r="E54" s="7" t="s">
        <v>11</v>
      </c>
      <c r="F54" s="7" t="s">
        <v>74</v>
      </c>
      <c r="G54" s="7" t="s">
        <v>74</v>
      </c>
    </row>
    <row r="55" customFormat="false" ht="22.5" hidden="false" customHeight="true" outlineLevel="0" collapsed="false">
      <c r="A55" s="7" t="s">
        <v>256</v>
      </c>
      <c r="B55" s="7" t="s">
        <v>257</v>
      </c>
      <c r="C55" s="7" t="s">
        <v>258</v>
      </c>
      <c r="D55" s="7" t="s">
        <v>10</v>
      </c>
      <c r="E55" s="7" t="s">
        <v>11</v>
      </c>
      <c r="F55" s="7" t="s">
        <v>74</v>
      </c>
      <c r="G55" s="7" t="s">
        <v>74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1.11"/>
    <col collapsed="false" customWidth="true" hidden="false" outlineLevel="0" max="6" min="3" style="1" width="22.63"/>
  </cols>
  <sheetData>
    <row r="1" customFormat="false" ht="22.5" hidden="false" customHeight="true" outlineLevel="0" collapsed="false">
      <c r="A1" s="2" t="s">
        <v>65</v>
      </c>
      <c r="B1" s="3" t="s">
        <v>1</v>
      </c>
      <c r="C1" s="3" t="s">
        <v>2</v>
      </c>
      <c r="D1" s="3" t="s">
        <v>3</v>
      </c>
      <c r="E1" s="3" t="s">
        <v>4</v>
      </c>
      <c r="F1" s="3" t="s">
        <v>5</v>
      </c>
    </row>
    <row r="2" customFormat="false" ht="22.5" hidden="false" customHeight="true" outlineLevel="0" collapsed="false">
      <c r="A2" s="7" t="s">
        <v>617</v>
      </c>
      <c r="B2" s="7" t="s">
        <v>618</v>
      </c>
      <c r="C2" s="7" t="s">
        <v>619</v>
      </c>
      <c r="D2" s="33" t="s">
        <v>620</v>
      </c>
      <c r="E2" s="7" t="s">
        <v>11</v>
      </c>
      <c r="F2" s="7" t="s">
        <v>74</v>
      </c>
    </row>
    <row r="3" customFormat="false" ht="22.5" hidden="false" customHeight="true" outlineLevel="0" collapsed="false">
      <c r="A3" s="7" t="s">
        <v>237</v>
      </c>
      <c r="B3" s="7" t="s">
        <v>238</v>
      </c>
      <c r="C3" s="7" t="s">
        <v>239</v>
      </c>
      <c r="D3" s="34" t="n">
        <v>192168134206</v>
      </c>
      <c r="E3" s="7" t="s">
        <v>11</v>
      </c>
      <c r="F3" s="7" t="s">
        <v>74</v>
      </c>
    </row>
    <row r="4" customFormat="false" ht="22.5" hidden="false" customHeight="true" outlineLevel="0" collapsed="false">
      <c r="A4" s="7" t="s">
        <v>621</v>
      </c>
      <c r="B4" s="7" t="s">
        <v>622</v>
      </c>
      <c r="C4" s="7" t="s">
        <v>623</v>
      </c>
      <c r="D4" s="33" t="s">
        <v>624</v>
      </c>
      <c r="E4" s="7" t="s">
        <v>11</v>
      </c>
      <c r="F4" s="7" t="s">
        <v>74</v>
      </c>
    </row>
    <row r="5" customFormat="false" ht="22.5" hidden="false" customHeight="true" outlineLevel="0" collapsed="false">
      <c r="A5" s="7" t="s">
        <v>625</v>
      </c>
      <c r="B5" s="7" t="s">
        <v>626</v>
      </c>
      <c r="C5" s="7" t="s">
        <v>627</v>
      </c>
      <c r="D5" s="33" t="s">
        <v>127</v>
      </c>
      <c r="E5" s="7" t="s">
        <v>11</v>
      </c>
      <c r="F5" s="7" t="s">
        <v>74</v>
      </c>
    </row>
    <row r="6" customFormat="false" ht="22.5" hidden="false" customHeight="true" outlineLevel="0" collapsed="false">
      <c r="A6" s="7" t="s">
        <v>55</v>
      </c>
      <c r="B6" s="7" t="s">
        <v>628</v>
      </c>
      <c r="C6" s="7" t="s">
        <v>629</v>
      </c>
      <c r="D6" s="34" t="n">
        <v>192168241118</v>
      </c>
      <c r="E6" s="7" t="s">
        <v>11</v>
      </c>
      <c r="F6" s="7" t="s">
        <v>74</v>
      </c>
    </row>
    <row r="7" customFormat="false" ht="22.5" hidden="false" customHeight="true" outlineLevel="0" collapsed="false">
      <c r="A7" s="11"/>
      <c r="B7" s="11"/>
      <c r="C7" s="11"/>
      <c r="D7" s="11"/>
      <c r="E7" s="11"/>
      <c r="F7" s="11"/>
    </row>
    <row r="8" customFormat="false" ht="22.5" hidden="false" customHeight="true" outlineLevel="0" collapsed="false">
      <c r="A8" s="11"/>
      <c r="B8" s="11"/>
      <c r="C8" s="11"/>
      <c r="D8" s="11"/>
      <c r="E8" s="11"/>
      <c r="F8" s="11"/>
    </row>
    <row r="9" customFormat="false" ht="22.5" hidden="false" customHeight="true" outlineLevel="0" collapsed="false">
      <c r="A9" s="11"/>
      <c r="B9" s="11"/>
      <c r="C9" s="11"/>
      <c r="D9" s="11"/>
      <c r="E9" s="11"/>
      <c r="F9" s="11"/>
    </row>
    <row r="10" customFormat="false" ht="22.5" hidden="false" customHeight="true" outlineLevel="0" collapsed="false">
      <c r="A10" s="11"/>
      <c r="B10" s="11"/>
      <c r="C10" s="11"/>
      <c r="D10" s="11"/>
      <c r="E10" s="11"/>
      <c r="F10" s="11"/>
    </row>
    <row r="11" customFormat="false" ht="22.5" hidden="false" customHeight="true" outlineLevel="0" collapsed="false">
      <c r="A11" s="11"/>
      <c r="B11" s="11"/>
      <c r="C11" s="11"/>
      <c r="D11" s="11"/>
      <c r="E11" s="11"/>
      <c r="F11" s="11"/>
    </row>
    <row r="12" customFormat="false" ht="22.5" hidden="false" customHeight="true" outlineLevel="0" collapsed="false">
      <c r="A12" s="11"/>
      <c r="B12" s="11"/>
      <c r="C12" s="11"/>
      <c r="D12" s="11"/>
      <c r="E12" s="11"/>
      <c r="F12" s="11"/>
    </row>
    <row r="13" customFormat="false" ht="22.5" hidden="false" customHeight="true" outlineLevel="0" collapsed="false">
      <c r="A13" s="11"/>
      <c r="B13" s="11"/>
      <c r="C13" s="11"/>
      <c r="D13" s="11"/>
      <c r="E13" s="11"/>
      <c r="F13" s="11"/>
    </row>
    <row r="14" customFormat="false" ht="22.5" hidden="false" customHeight="true" outlineLevel="0" collapsed="false">
      <c r="A14" s="11"/>
      <c r="B14" s="11"/>
      <c r="C14" s="11"/>
      <c r="D14" s="11"/>
      <c r="E14" s="11"/>
      <c r="F14" s="11"/>
    </row>
    <row r="15" customFormat="false" ht="22.5" hidden="false" customHeight="true" outlineLevel="0" collapsed="false">
      <c r="A15" s="11"/>
      <c r="B15" s="11"/>
      <c r="C15" s="11"/>
      <c r="D15" s="11"/>
      <c r="E15" s="11"/>
      <c r="F15" s="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17.25"/>
    <col collapsed="false" customWidth="true" hidden="false" outlineLevel="0" max="2" min="2" style="1" width="35.25"/>
    <col collapsed="false" customWidth="true" hidden="false" outlineLevel="0" max="3" min="3" style="1" width="33.75"/>
    <col collapsed="false" customWidth="true" hidden="false" outlineLevel="0" max="6" min="4" style="1" width="22.63"/>
    <col collapsed="false" customWidth="true" hidden="false" outlineLevel="0" max="7" min="7" style="1" width="19.75"/>
  </cols>
  <sheetData>
    <row r="1" customFormat="false" ht="22.5" hidden="false" customHeight="true" outlineLevel="0" collapsed="false">
      <c r="A1" s="2" t="s">
        <v>65</v>
      </c>
      <c r="B1" s="3" t="s">
        <v>1</v>
      </c>
      <c r="C1" s="3" t="s">
        <v>2</v>
      </c>
      <c r="D1" s="3" t="s">
        <v>3</v>
      </c>
      <c r="E1" s="3" t="s">
        <v>4</v>
      </c>
      <c r="F1" s="3" t="s">
        <v>5</v>
      </c>
      <c r="G1" s="4" t="s">
        <v>6</v>
      </c>
    </row>
    <row r="2" customFormat="false" ht="22.5" hidden="true" customHeight="true" outlineLevel="0" collapsed="false">
      <c r="A2" s="11" t="s">
        <v>122</v>
      </c>
      <c r="B2" s="11" t="s">
        <v>285</v>
      </c>
      <c r="C2" s="11" t="s">
        <v>285</v>
      </c>
      <c r="D2" s="11" t="s">
        <v>285</v>
      </c>
      <c r="E2" s="11" t="s">
        <v>285</v>
      </c>
      <c r="F2" s="11"/>
      <c r="G2" s="11"/>
    </row>
    <row r="3" customFormat="false" ht="22.5" hidden="true" customHeight="true" outlineLevel="0" collapsed="false">
      <c r="A3" s="11" t="s">
        <v>123</v>
      </c>
      <c r="B3" s="11" t="s">
        <v>285</v>
      </c>
      <c r="C3" s="11" t="s">
        <v>285</v>
      </c>
      <c r="D3" s="11" t="s">
        <v>285</v>
      </c>
      <c r="E3" s="11" t="s">
        <v>285</v>
      </c>
      <c r="F3" s="11"/>
      <c r="G3" s="11"/>
    </row>
    <row r="4" customFormat="false" ht="22.5" hidden="true" customHeight="true" outlineLevel="0" collapsed="false">
      <c r="A4" s="11" t="s">
        <v>132</v>
      </c>
      <c r="B4" s="11" t="s">
        <v>285</v>
      </c>
      <c r="C4" s="11" t="s">
        <v>285</v>
      </c>
      <c r="D4" s="11" t="s">
        <v>285</v>
      </c>
      <c r="E4" s="11" t="s">
        <v>285</v>
      </c>
      <c r="F4" s="11"/>
      <c r="G4" s="11"/>
    </row>
    <row r="5" customFormat="false" ht="22.5" hidden="false" customHeight="true" outlineLevel="0" collapsed="false">
      <c r="A5" s="7" t="s">
        <v>476</v>
      </c>
      <c r="B5" s="7" t="s">
        <v>477</v>
      </c>
      <c r="C5" s="7" t="s">
        <v>478</v>
      </c>
      <c r="D5" s="7" t="s">
        <v>213</v>
      </c>
      <c r="E5" s="7" t="s">
        <v>11</v>
      </c>
      <c r="F5" s="7" t="s">
        <v>630</v>
      </c>
      <c r="G5" s="7" t="s">
        <v>74</v>
      </c>
    </row>
    <row r="6" customFormat="false" ht="22.5" hidden="true" customHeight="true" outlineLevel="0" collapsed="false">
      <c r="A6" s="11" t="s">
        <v>175</v>
      </c>
      <c r="B6" s="11" t="s">
        <v>285</v>
      </c>
      <c r="C6" s="11" t="s">
        <v>285</v>
      </c>
      <c r="D6" s="11" t="s">
        <v>285</v>
      </c>
      <c r="E6" s="11" t="s">
        <v>285</v>
      </c>
      <c r="F6" s="11"/>
      <c r="G6" s="11"/>
    </row>
    <row r="7" customFormat="false" ht="22.5" hidden="true" customHeight="true" outlineLevel="0" collapsed="false">
      <c r="A7" s="11" t="s">
        <v>178</v>
      </c>
      <c r="B7" s="11" t="s">
        <v>285</v>
      </c>
      <c r="C7" s="11" t="s">
        <v>285</v>
      </c>
      <c r="D7" s="11" t="s">
        <v>285</v>
      </c>
      <c r="E7" s="11" t="s">
        <v>285</v>
      </c>
      <c r="F7" s="11"/>
      <c r="G7" s="11"/>
    </row>
    <row r="8" customFormat="false" ht="22.5" hidden="true" customHeight="true" outlineLevel="0" collapsed="false">
      <c r="A8" s="11" t="s">
        <v>179</v>
      </c>
      <c r="B8" s="11" t="s">
        <v>285</v>
      </c>
      <c r="C8" s="11" t="s">
        <v>285</v>
      </c>
      <c r="D8" s="11" t="s">
        <v>285</v>
      </c>
      <c r="E8" s="11" t="s">
        <v>285</v>
      </c>
      <c r="F8" s="11"/>
      <c r="G8" s="11"/>
    </row>
    <row r="9" customFormat="false" ht="22.5" hidden="true" customHeight="true" outlineLevel="0" collapsed="false">
      <c r="A9" s="11" t="s">
        <v>183</v>
      </c>
      <c r="B9" s="11" t="s">
        <v>285</v>
      </c>
      <c r="C9" s="11" t="s">
        <v>285</v>
      </c>
      <c r="D9" s="11" t="s">
        <v>285</v>
      </c>
      <c r="E9" s="11" t="s">
        <v>285</v>
      </c>
      <c r="F9" s="11"/>
      <c r="G9" s="11"/>
    </row>
    <row r="10" customFormat="false" ht="22.5" hidden="true" customHeight="true" outlineLevel="0" collapsed="false">
      <c r="A10" s="11" t="s">
        <v>184</v>
      </c>
      <c r="B10" s="11" t="s">
        <v>285</v>
      </c>
      <c r="C10" s="11" t="s">
        <v>285</v>
      </c>
      <c r="D10" s="11" t="s">
        <v>285</v>
      </c>
      <c r="E10" s="11" t="s">
        <v>285</v>
      </c>
      <c r="F10" s="11"/>
      <c r="G10" s="11"/>
    </row>
    <row r="11" customFormat="false" ht="22.5" hidden="true" customHeight="true" outlineLevel="0" collapsed="false">
      <c r="A11" s="11" t="s">
        <v>188</v>
      </c>
      <c r="B11" s="11" t="s">
        <v>285</v>
      </c>
      <c r="C11" s="11" t="s">
        <v>285</v>
      </c>
      <c r="D11" s="11" t="s">
        <v>285</v>
      </c>
      <c r="E11" s="11" t="s">
        <v>285</v>
      </c>
      <c r="F11" s="11"/>
      <c r="G11" s="11"/>
    </row>
    <row r="12" customFormat="false" ht="22.5" hidden="true" customHeight="true" outlineLevel="0" collapsed="false">
      <c r="A12" s="11" t="s">
        <v>189</v>
      </c>
      <c r="B12" s="11" t="s">
        <v>285</v>
      </c>
      <c r="C12" s="11" t="s">
        <v>285</v>
      </c>
      <c r="D12" s="11" t="s">
        <v>285</v>
      </c>
      <c r="E12" s="11" t="s">
        <v>285</v>
      </c>
      <c r="F12" s="11"/>
      <c r="G12" s="11"/>
    </row>
    <row r="13" customFormat="false" ht="22.5" hidden="true" customHeight="true" outlineLevel="0" collapsed="false">
      <c r="A13" s="11" t="s">
        <v>631</v>
      </c>
      <c r="B13" s="11" t="s">
        <v>285</v>
      </c>
      <c r="C13" s="11" t="s">
        <v>285</v>
      </c>
      <c r="D13" s="11" t="s">
        <v>285</v>
      </c>
      <c r="E13" s="11" t="s">
        <v>285</v>
      </c>
      <c r="F13" s="11"/>
      <c r="G13" s="11"/>
    </row>
    <row r="14" customFormat="false" ht="22.5" hidden="false" customHeight="true" outlineLevel="0" collapsed="false">
      <c r="A14" s="7" t="s">
        <v>506</v>
      </c>
      <c r="B14" s="7" t="s">
        <v>507</v>
      </c>
      <c r="C14" s="7" t="s">
        <v>508</v>
      </c>
      <c r="D14" s="7" t="s">
        <v>632</v>
      </c>
      <c r="E14" s="7" t="s">
        <v>11</v>
      </c>
      <c r="F14" s="7" t="s">
        <v>630</v>
      </c>
      <c r="G14" s="7" t="s">
        <v>74</v>
      </c>
    </row>
    <row r="15" customFormat="false" ht="22.5" hidden="false" customHeight="true" outlineLevel="0" collapsed="false">
      <c r="A15" s="7" t="s">
        <v>573</v>
      </c>
      <c r="B15" s="7" t="s">
        <v>574</v>
      </c>
      <c r="C15" s="7" t="s">
        <v>575</v>
      </c>
      <c r="D15" s="7" t="s">
        <v>576</v>
      </c>
      <c r="E15" s="7" t="s">
        <v>11</v>
      </c>
      <c r="F15" s="7" t="s">
        <v>630</v>
      </c>
      <c r="G15" s="7" t="s">
        <v>74</v>
      </c>
    </row>
    <row r="16" customFormat="false" ht="22.5" hidden="false" customHeight="true" outlineLevel="0" collapsed="false">
      <c r="A16" s="7" t="s">
        <v>564</v>
      </c>
      <c r="B16" s="7" t="s">
        <v>565</v>
      </c>
      <c r="C16" s="7" t="s">
        <v>566</v>
      </c>
      <c r="D16" s="35" t="n">
        <v>192168134201</v>
      </c>
      <c r="E16" s="7" t="s">
        <v>11</v>
      </c>
      <c r="F16" s="7" t="s">
        <v>630</v>
      </c>
      <c r="G16" s="7" t="s">
        <v>74</v>
      </c>
    </row>
    <row r="17" customFormat="false" ht="22.5" hidden="false" customHeight="true" outlineLevel="0" collapsed="false">
      <c r="A17" s="7" t="s">
        <v>551</v>
      </c>
      <c r="B17" s="7" t="s">
        <v>552</v>
      </c>
      <c r="C17" s="7" t="s">
        <v>553</v>
      </c>
      <c r="D17" s="7" t="s">
        <v>554</v>
      </c>
      <c r="E17" s="7" t="s">
        <v>11</v>
      </c>
      <c r="F17" s="7" t="s">
        <v>630</v>
      </c>
      <c r="G17" s="7" t="s">
        <v>74</v>
      </c>
    </row>
    <row r="18" customFormat="false" ht="22.5" hidden="false" customHeight="true" outlineLevel="0" collapsed="false">
      <c r="A18" s="7" t="s">
        <v>446</v>
      </c>
      <c r="B18" s="7" t="s">
        <v>447</v>
      </c>
      <c r="C18" s="7" t="s">
        <v>448</v>
      </c>
      <c r="D18" s="7" t="s">
        <v>633</v>
      </c>
      <c r="E18" s="7" t="s">
        <v>11</v>
      </c>
      <c r="F18" s="7"/>
      <c r="G18" s="7" t="s">
        <v>74</v>
      </c>
    </row>
    <row r="19" customFormat="false" ht="22.5" hidden="false" customHeight="true" outlineLevel="0" collapsed="false">
      <c r="A19" s="7" t="s">
        <v>453</v>
      </c>
      <c r="B19" s="7" t="s">
        <v>454</v>
      </c>
      <c r="C19" s="7" t="s">
        <v>455</v>
      </c>
      <c r="D19" s="7" t="s">
        <v>634</v>
      </c>
      <c r="E19" s="7" t="s">
        <v>11</v>
      </c>
      <c r="F19" s="7"/>
      <c r="G19" s="7" t="s">
        <v>74</v>
      </c>
    </row>
    <row r="20" customFormat="false" ht="22.5" hidden="false" customHeight="true" outlineLevel="0" collapsed="false">
      <c r="A20" s="7" t="s">
        <v>467</v>
      </c>
      <c r="B20" s="7" t="s">
        <v>468</v>
      </c>
      <c r="C20" s="7" t="s">
        <v>469</v>
      </c>
      <c r="D20" s="7" t="s">
        <v>217</v>
      </c>
      <c r="E20" s="7" t="s">
        <v>11</v>
      </c>
      <c r="F20" s="7"/>
      <c r="G20" s="7" t="s">
        <v>74</v>
      </c>
    </row>
    <row r="21" customFormat="false" ht="22.5" hidden="false" customHeight="true" outlineLevel="0" collapsed="false">
      <c r="A21" s="7" t="s">
        <v>493</v>
      </c>
      <c r="B21" s="7" t="s">
        <v>494</v>
      </c>
      <c r="C21" s="7" t="s">
        <v>495</v>
      </c>
      <c r="D21" s="7" t="s">
        <v>635</v>
      </c>
      <c r="E21" s="7" t="s">
        <v>11</v>
      </c>
      <c r="F21" s="7"/>
      <c r="G21" s="7" t="s">
        <v>74</v>
      </c>
    </row>
    <row r="22" customFormat="false" ht="22.5" hidden="false" customHeight="true" outlineLevel="0" collapsed="false">
      <c r="A22" s="7" t="s">
        <v>577</v>
      </c>
      <c r="B22" s="7" t="s">
        <v>578</v>
      </c>
      <c r="C22" s="7" t="s">
        <v>579</v>
      </c>
      <c r="D22" s="7" t="s">
        <v>217</v>
      </c>
      <c r="E22" s="7" t="s">
        <v>11</v>
      </c>
      <c r="F22" s="7"/>
      <c r="G22" s="7" t="s">
        <v>74</v>
      </c>
    </row>
    <row r="23" customFormat="false" ht="22.5" hidden="false" customHeight="true" outlineLevel="0" collapsed="false">
      <c r="A23" s="7" t="s">
        <v>586</v>
      </c>
      <c r="B23" s="7" t="s">
        <v>587</v>
      </c>
      <c r="C23" s="7" t="s">
        <v>588</v>
      </c>
      <c r="D23" s="7" t="s">
        <v>636</v>
      </c>
      <c r="E23" s="7" t="s">
        <v>11</v>
      </c>
      <c r="F23" s="7"/>
      <c r="G23" s="7" t="s">
        <v>74</v>
      </c>
    </row>
    <row r="24" customFormat="false" ht="22.5" hidden="false" customHeight="true" outlineLevel="0" collapsed="false">
      <c r="A24" s="7" t="s">
        <v>602</v>
      </c>
      <c r="B24" s="7" t="s">
        <v>603</v>
      </c>
      <c r="C24" s="7" t="s">
        <v>604</v>
      </c>
      <c r="D24" s="7" t="s">
        <v>637</v>
      </c>
      <c r="E24" s="7" t="s">
        <v>11</v>
      </c>
      <c r="F24" s="7"/>
      <c r="G24" s="7" t="s">
        <v>74</v>
      </c>
    </row>
    <row r="25" customFormat="false" ht="22.5" hidden="false" customHeight="true" outlineLevel="0" collapsed="false">
      <c r="A25" s="7" t="s">
        <v>606</v>
      </c>
      <c r="B25" s="7" t="s">
        <v>607</v>
      </c>
      <c r="C25" s="7" t="s">
        <v>608</v>
      </c>
      <c r="D25" s="35" t="n">
        <v>192168134173</v>
      </c>
      <c r="E25" s="7" t="s">
        <v>11</v>
      </c>
      <c r="F25" s="7"/>
      <c r="G25" s="7" t="s">
        <v>74</v>
      </c>
    </row>
    <row r="26" customFormat="false" ht="22.5" hidden="true" customHeight="true" outlineLevel="0" collapsed="false">
      <c r="A26" s="11" t="s">
        <v>638</v>
      </c>
      <c r="B26" s="11" t="s">
        <v>285</v>
      </c>
      <c r="C26" s="11" t="s">
        <v>285</v>
      </c>
      <c r="D26" s="11" t="s">
        <v>285</v>
      </c>
      <c r="E26" s="11" t="s">
        <v>285</v>
      </c>
      <c r="F26" s="11"/>
      <c r="G26" s="11"/>
    </row>
    <row r="27" customFormat="false" ht="22.5" hidden="false" customHeight="true" outlineLevel="0" collapsed="false">
      <c r="A27" s="7" t="s">
        <v>639</v>
      </c>
      <c r="B27" s="7" t="s">
        <v>640</v>
      </c>
      <c r="C27" s="7" t="s">
        <v>641</v>
      </c>
      <c r="D27" s="7" t="s">
        <v>642</v>
      </c>
      <c r="E27" s="7" t="s">
        <v>11</v>
      </c>
      <c r="F27" s="7"/>
      <c r="G27" s="7" t="s">
        <v>74</v>
      </c>
    </row>
    <row r="28" customFormat="false" ht="22.5" hidden="false" customHeight="true" outlineLevel="0" collapsed="false">
      <c r="A28" s="7" t="s">
        <v>643</v>
      </c>
      <c r="B28" s="7" t="s">
        <v>644</v>
      </c>
      <c r="C28" s="7" t="s">
        <v>645</v>
      </c>
      <c r="D28" s="7" t="s">
        <v>646</v>
      </c>
      <c r="E28" s="7" t="s">
        <v>11</v>
      </c>
      <c r="F28" s="7"/>
      <c r="G28" s="7" t="s">
        <v>74</v>
      </c>
    </row>
    <row r="29" customFormat="false" ht="22.5" hidden="false" customHeight="true" outlineLevel="0" collapsed="false">
      <c r="A29" s="7" t="s">
        <v>647</v>
      </c>
      <c r="B29" s="7" t="s">
        <v>648</v>
      </c>
      <c r="C29" s="7" t="s">
        <v>649</v>
      </c>
      <c r="D29" s="7" t="s">
        <v>650</v>
      </c>
      <c r="E29" s="7" t="s">
        <v>11</v>
      </c>
      <c r="F29" s="7"/>
      <c r="G29" s="7" t="s">
        <v>74</v>
      </c>
    </row>
    <row r="30" customFormat="false" ht="22.5" hidden="false" customHeight="true" outlineLevel="0" collapsed="false">
      <c r="A30" s="7" t="s">
        <v>651</v>
      </c>
      <c r="B30" s="7" t="s">
        <v>652</v>
      </c>
      <c r="C30" s="7" t="s">
        <v>653</v>
      </c>
      <c r="D30" s="7" t="s">
        <v>654</v>
      </c>
      <c r="E30" s="7" t="s">
        <v>11</v>
      </c>
      <c r="F30" s="7"/>
      <c r="G30" s="7" t="s">
        <v>74</v>
      </c>
    </row>
    <row r="31" customFormat="false" ht="22.5" hidden="false" customHeight="true" outlineLevel="0" collapsed="false">
      <c r="A31" s="7" t="s">
        <v>655</v>
      </c>
      <c r="B31" s="7" t="s">
        <v>656</v>
      </c>
      <c r="C31" s="7" t="s">
        <v>657</v>
      </c>
      <c r="D31" s="7" t="s">
        <v>658</v>
      </c>
      <c r="E31" s="7" t="s">
        <v>11</v>
      </c>
      <c r="F31" s="7"/>
      <c r="G31" s="7" t="s">
        <v>74</v>
      </c>
    </row>
    <row r="32" customFormat="false" ht="22.5" hidden="true" customHeight="true" outlineLevel="0" collapsed="false">
      <c r="A32" s="11" t="s">
        <v>659</v>
      </c>
      <c r="B32" s="11" t="s">
        <v>285</v>
      </c>
      <c r="C32" s="11" t="s">
        <v>285</v>
      </c>
      <c r="D32" s="11" t="s">
        <v>285</v>
      </c>
      <c r="E32" s="11" t="s">
        <v>285</v>
      </c>
      <c r="F32" s="11"/>
      <c r="G32" s="11"/>
    </row>
    <row r="33" customFormat="false" ht="22.5" hidden="false" customHeight="true" outlineLevel="0" collapsed="false">
      <c r="A33" s="7" t="s">
        <v>660</v>
      </c>
      <c r="B33" s="7" t="s">
        <v>661</v>
      </c>
      <c r="C33" s="7" t="s">
        <v>662</v>
      </c>
      <c r="D33" s="35" t="n">
        <v>192168134223</v>
      </c>
      <c r="E33" s="7" t="s">
        <v>11</v>
      </c>
      <c r="F33" s="7"/>
      <c r="G33" s="7" t="s">
        <v>74</v>
      </c>
    </row>
    <row r="34" customFormat="false" ht="22.5" hidden="false" customHeight="true" outlineLevel="0" collapsed="false">
      <c r="A34" s="7" t="s">
        <v>663</v>
      </c>
      <c r="B34" s="7" t="s">
        <v>664</v>
      </c>
      <c r="C34" s="7" t="s">
        <v>665</v>
      </c>
      <c r="D34" s="7" t="s">
        <v>666</v>
      </c>
      <c r="E34" s="7" t="s">
        <v>11</v>
      </c>
      <c r="F34" s="7"/>
      <c r="G34" s="7" t="s">
        <v>74</v>
      </c>
    </row>
    <row r="35" customFormat="false" ht="22.5" hidden="false" customHeight="true" outlineLevel="0" collapsed="false">
      <c r="A35" s="7" t="s">
        <v>667</v>
      </c>
      <c r="B35" s="7" t="s">
        <v>668</v>
      </c>
      <c r="C35" s="7" t="s">
        <v>669</v>
      </c>
      <c r="D35" s="7" t="s">
        <v>670</v>
      </c>
      <c r="E35" s="7" t="s">
        <v>11</v>
      </c>
      <c r="F35" s="7"/>
      <c r="G35" s="7" t="s">
        <v>74</v>
      </c>
    </row>
    <row r="36" customFormat="false" ht="22.5" hidden="false" customHeight="true" outlineLevel="0" collapsed="false">
      <c r="A36" s="7" t="s">
        <v>373</v>
      </c>
      <c r="B36" s="7" t="s">
        <v>374</v>
      </c>
      <c r="C36" s="7" t="s">
        <v>375</v>
      </c>
      <c r="D36" s="7" t="s">
        <v>671</v>
      </c>
      <c r="E36" s="7" t="s">
        <v>11</v>
      </c>
      <c r="F36" s="7"/>
      <c r="G36" s="7" t="s">
        <v>74</v>
      </c>
    </row>
    <row r="37" customFormat="false" ht="22.5" hidden="false" customHeight="true" outlineLevel="0" collapsed="false">
      <c r="A37" s="7" t="s">
        <v>672</v>
      </c>
      <c r="B37" s="7" t="s">
        <v>673</v>
      </c>
      <c r="C37" s="7" t="s">
        <v>674</v>
      </c>
      <c r="D37" s="7" t="s">
        <v>675</v>
      </c>
      <c r="E37" s="7" t="s">
        <v>11</v>
      </c>
      <c r="F37" s="7"/>
      <c r="G37" s="7" t="s">
        <v>74</v>
      </c>
    </row>
    <row r="38" customFormat="false" ht="22.5" hidden="true" customHeight="true" outlineLevel="0" collapsed="false">
      <c r="A38" s="11" t="s">
        <v>26</v>
      </c>
      <c r="B38" s="11" t="s">
        <v>676</v>
      </c>
      <c r="C38" s="11" t="s">
        <v>677</v>
      </c>
      <c r="D38" s="11" t="s">
        <v>144</v>
      </c>
      <c r="E38" s="11" t="s">
        <v>11</v>
      </c>
      <c r="F38" s="11"/>
      <c r="G38" s="11" t="s">
        <v>678</v>
      </c>
    </row>
    <row r="39" customFormat="false" ht="22.5" hidden="false" customHeight="true" outlineLevel="0" collapsed="false">
      <c r="A39" s="7" t="s">
        <v>679</v>
      </c>
      <c r="B39" s="7" t="s">
        <v>680</v>
      </c>
      <c r="C39" s="7" t="s">
        <v>681</v>
      </c>
      <c r="D39" s="7" t="s">
        <v>682</v>
      </c>
      <c r="E39" s="7" t="s">
        <v>11</v>
      </c>
      <c r="F39" s="7"/>
      <c r="G39" s="7" t="s">
        <v>74</v>
      </c>
    </row>
    <row r="40" customFormat="false" ht="22.5" hidden="true" customHeight="true" outlineLevel="0" collapsed="false">
      <c r="A40" s="11" t="s">
        <v>683</v>
      </c>
      <c r="B40" s="11" t="s">
        <v>285</v>
      </c>
      <c r="C40" s="11" t="s">
        <v>285</v>
      </c>
      <c r="D40" s="11" t="s">
        <v>285</v>
      </c>
      <c r="E40" s="11" t="s">
        <v>285</v>
      </c>
      <c r="F40" s="11"/>
      <c r="G40" s="11"/>
    </row>
    <row r="41" customFormat="false" ht="22.5" hidden="false" customHeight="true" outlineLevel="0" collapsed="false">
      <c r="A41" s="7" t="s">
        <v>684</v>
      </c>
      <c r="B41" s="7" t="s">
        <v>685</v>
      </c>
      <c r="C41" s="7" t="s">
        <v>686</v>
      </c>
      <c r="D41" s="7" t="s">
        <v>131</v>
      </c>
      <c r="E41" s="7" t="s">
        <v>11</v>
      </c>
      <c r="F41" s="7"/>
      <c r="G41" s="7" t="s">
        <v>74</v>
      </c>
    </row>
    <row r="42" customFormat="false" ht="22.5" hidden="true" customHeight="true" outlineLevel="0" collapsed="false">
      <c r="A42" s="11" t="s">
        <v>687</v>
      </c>
      <c r="B42" s="11" t="s">
        <v>285</v>
      </c>
      <c r="C42" s="11" t="s">
        <v>285</v>
      </c>
      <c r="D42" s="11" t="s">
        <v>285</v>
      </c>
      <c r="E42" s="11" t="s">
        <v>285</v>
      </c>
      <c r="F42" s="11"/>
      <c r="G42" s="11"/>
    </row>
    <row r="43" customFormat="false" ht="22.5" hidden="false" customHeight="true" outlineLevel="0" collapsed="false">
      <c r="A43" s="7" t="s">
        <v>688</v>
      </c>
      <c r="B43" s="7" t="s">
        <v>689</v>
      </c>
      <c r="C43" s="7" t="s">
        <v>690</v>
      </c>
      <c r="D43" s="7" t="s">
        <v>691</v>
      </c>
      <c r="E43" s="7" t="s">
        <v>11</v>
      </c>
      <c r="F43" s="7"/>
      <c r="G43" s="7" t="s">
        <v>74</v>
      </c>
    </row>
    <row r="44" customFormat="false" ht="22.5" hidden="false" customHeight="true" outlineLevel="0" collapsed="false">
      <c r="A44" s="7" t="s">
        <v>692</v>
      </c>
      <c r="B44" s="7" t="s">
        <v>693</v>
      </c>
      <c r="C44" s="7" t="s">
        <v>694</v>
      </c>
      <c r="D44" s="7" t="s">
        <v>695</v>
      </c>
      <c r="E44" s="7" t="s">
        <v>11</v>
      </c>
      <c r="F44" s="7"/>
      <c r="G44" s="7" t="s">
        <v>74</v>
      </c>
    </row>
    <row r="45" customFormat="false" ht="22.5" hidden="false" customHeight="true" outlineLevel="0" collapsed="false">
      <c r="A45" s="7" t="s">
        <v>696</v>
      </c>
      <c r="B45" s="7" t="s">
        <v>697</v>
      </c>
      <c r="C45" s="7" t="s">
        <v>698</v>
      </c>
      <c r="D45" s="7" t="s">
        <v>699</v>
      </c>
      <c r="E45" s="7" t="s">
        <v>11</v>
      </c>
      <c r="F45" s="7"/>
      <c r="G45" s="7" t="s">
        <v>74</v>
      </c>
    </row>
    <row r="46" customFormat="false" ht="22.5" hidden="false" customHeight="true" outlineLevel="0" collapsed="false">
      <c r="A46" s="7" t="s">
        <v>700</v>
      </c>
      <c r="B46" s="7" t="s">
        <v>701</v>
      </c>
      <c r="C46" s="7" t="s">
        <v>702</v>
      </c>
      <c r="D46" s="7" t="s">
        <v>201</v>
      </c>
      <c r="E46" s="7" t="s">
        <v>11</v>
      </c>
      <c r="F46" s="7"/>
      <c r="G46" s="7" t="s">
        <v>74</v>
      </c>
    </row>
    <row r="47" customFormat="false" ht="22.5" hidden="true" customHeight="true" outlineLevel="0" collapsed="false">
      <c r="A47" s="11" t="s">
        <v>145</v>
      </c>
      <c r="B47" s="11" t="s">
        <v>146</v>
      </c>
      <c r="C47" s="11" t="s">
        <v>147</v>
      </c>
      <c r="D47" s="11" t="s">
        <v>703</v>
      </c>
      <c r="E47" s="11" t="s">
        <v>405</v>
      </c>
      <c r="F47" s="11"/>
      <c r="G47" s="11" t="s">
        <v>704</v>
      </c>
    </row>
    <row r="48" customFormat="false" ht="22.5" hidden="true" customHeight="true" outlineLevel="0" collapsed="false">
      <c r="A48" s="11" t="s">
        <v>488</v>
      </c>
      <c r="B48" s="11" t="s">
        <v>705</v>
      </c>
      <c r="C48" s="11" t="s">
        <v>490</v>
      </c>
      <c r="D48" s="11" t="s">
        <v>110</v>
      </c>
      <c r="E48" s="11" t="s">
        <v>11</v>
      </c>
      <c r="F48" s="11"/>
      <c r="G48" s="11" t="s">
        <v>706</v>
      </c>
    </row>
    <row r="49" customFormat="false" ht="22.5" hidden="true" customHeight="true" outlineLevel="0" collapsed="false">
      <c r="A49" s="11" t="s">
        <v>7</v>
      </c>
      <c r="B49" s="11" t="s">
        <v>8</v>
      </c>
      <c r="C49" s="11" t="s">
        <v>9</v>
      </c>
      <c r="D49" s="11" t="s">
        <v>10</v>
      </c>
      <c r="E49" s="11" t="s">
        <v>11</v>
      </c>
      <c r="F49" s="11"/>
      <c r="G49" s="11" t="s">
        <v>706</v>
      </c>
    </row>
    <row r="50" customFormat="false" ht="22.5" hidden="true" customHeight="true" outlineLevel="0" collapsed="false">
      <c r="A50" s="11" t="s">
        <v>22</v>
      </c>
      <c r="B50" s="11" t="s">
        <v>572</v>
      </c>
      <c r="C50" s="11" t="s">
        <v>24</v>
      </c>
      <c r="D50" s="11" t="s">
        <v>439</v>
      </c>
      <c r="E50" s="11" t="s">
        <v>11</v>
      </c>
      <c r="F50" s="11"/>
      <c r="G50" s="11" t="s">
        <v>706</v>
      </c>
    </row>
    <row r="51" customFormat="false" ht="22.5" hidden="true" customHeight="true" outlineLevel="0" collapsed="false">
      <c r="A51" s="11" t="s">
        <v>707</v>
      </c>
      <c r="B51" s="11" t="s">
        <v>708</v>
      </c>
      <c r="C51" s="11" t="s">
        <v>709</v>
      </c>
      <c r="D51" s="11" t="s">
        <v>710</v>
      </c>
      <c r="E51" s="11" t="s">
        <v>11</v>
      </c>
      <c r="F51" s="11"/>
      <c r="G51" s="11" t="s">
        <v>706</v>
      </c>
    </row>
    <row r="52" customFormat="false" ht="22.5" hidden="true" customHeight="true" outlineLevel="0" collapsed="false">
      <c r="A52" s="11" t="s">
        <v>711</v>
      </c>
      <c r="B52" s="11" t="s">
        <v>712</v>
      </c>
      <c r="C52" s="11" t="s">
        <v>713</v>
      </c>
      <c r="D52" s="11" t="s">
        <v>714</v>
      </c>
      <c r="E52" s="11" t="s">
        <v>11</v>
      </c>
      <c r="F52" s="11"/>
      <c r="G52" s="11" t="s">
        <v>706</v>
      </c>
    </row>
    <row r="53" customFormat="false" ht="22.5" hidden="true" customHeight="true" outlineLevel="0" collapsed="false">
      <c r="A53" s="11" t="s">
        <v>14</v>
      </c>
      <c r="B53" s="11" t="s">
        <v>15</v>
      </c>
      <c r="C53" s="11" t="s">
        <v>16</v>
      </c>
      <c r="D53" s="11" t="s">
        <v>17</v>
      </c>
      <c r="E53" s="11" t="s">
        <v>11</v>
      </c>
      <c r="F53" s="11"/>
      <c r="G53" s="11" t="s">
        <v>706</v>
      </c>
    </row>
    <row r="54" customFormat="false" ht="22.5" hidden="true" customHeight="true" outlineLevel="0" collapsed="false">
      <c r="A54" s="11" t="s">
        <v>18</v>
      </c>
      <c r="B54" s="11" t="s">
        <v>19</v>
      </c>
      <c r="C54" s="11" t="s">
        <v>20</v>
      </c>
      <c r="D54" s="11" t="s">
        <v>21</v>
      </c>
      <c r="E54" s="11" t="s">
        <v>11</v>
      </c>
      <c r="F54" s="11"/>
      <c r="G54" s="11" t="s">
        <v>706</v>
      </c>
    </row>
    <row r="55" customFormat="false" ht="22.5" hidden="true" customHeight="true" outlineLevel="0" collapsed="false">
      <c r="A55" s="11" t="s">
        <v>715</v>
      </c>
      <c r="B55" s="11" t="s">
        <v>716</v>
      </c>
      <c r="C55" s="11" t="s">
        <v>717</v>
      </c>
      <c r="D55" s="11" t="s">
        <v>289</v>
      </c>
      <c r="E55" s="11" t="s">
        <v>11</v>
      </c>
      <c r="F55" s="11"/>
      <c r="G55" s="11" t="s">
        <v>704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23.75"/>
    <col collapsed="false" customWidth="true" hidden="false" outlineLevel="0" max="3" min="3" style="1" width="33"/>
    <col collapsed="false" customWidth="true" hidden="false" outlineLevel="0" max="6" min="4" style="1" width="22.63"/>
    <col collapsed="false" customWidth="true" hidden="false" outlineLevel="0" max="7" min="7" style="1" width="16.25"/>
  </cols>
  <sheetData>
    <row r="1" customFormat="false" ht="22.5" hidden="false" customHeight="true" outlineLevel="0" collapsed="false">
      <c r="A1" s="2" t="s">
        <v>65</v>
      </c>
      <c r="B1" s="3" t="s">
        <v>1</v>
      </c>
      <c r="C1" s="3" t="s">
        <v>2</v>
      </c>
      <c r="D1" s="3" t="s">
        <v>3</v>
      </c>
      <c r="E1" s="3" t="s">
        <v>4</v>
      </c>
      <c r="F1" s="3" t="s">
        <v>5</v>
      </c>
      <c r="G1" s="4" t="s">
        <v>6</v>
      </c>
    </row>
    <row r="2" customFormat="false" ht="22.5" hidden="false" customHeight="true" outlineLevel="0" collapsed="false">
      <c r="A2" s="33" t="s">
        <v>718</v>
      </c>
      <c r="B2" s="33" t="s">
        <v>719</v>
      </c>
      <c r="C2" s="33" t="s">
        <v>720</v>
      </c>
      <c r="D2" s="33" t="s">
        <v>671</v>
      </c>
      <c r="E2" s="33" t="s">
        <v>11</v>
      </c>
      <c r="F2" s="7" t="s">
        <v>74</v>
      </c>
      <c r="G2" s="7"/>
    </row>
    <row r="3" customFormat="false" ht="22.5" hidden="false" customHeight="true" outlineLevel="0" collapsed="false">
      <c r="A3" s="33" t="s">
        <v>721</v>
      </c>
      <c r="B3" s="33" t="s">
        <v>722</v>
      </c>
      <c r="C3" s="33" t="s">
        <v>723</v>
      </c>
      <c r="D3" s="34" t="n">
        <v>192168134195</v>
      </c>
      <c r="E3" s="33" t="s">
        <v>11</v>
      </c>
      <c r="F3" s="7" t="s">
        <v>74</v>
      </c>
      <c r="G3" s="7"/>
    </row>
    <row r="4" customFormat="false" ht="22.5" hidden="false" customHeight="true" outlineLevel="0" collapsed="false">
      <c r="A4" s="33" t="s">
        <v>724</v>
      </c>
      <c r="B4" s="33" t="s">
        <v>725</v>
      </c>
      <c r="C4" s="33" t="s">
        <v>726</v>
      </c>
      <c r="D4" s="33" t="s">
        <v>727</v>
      </c>
      <c r="E4" s="33" t="s">
        <v>11</v>
      </c>
      <c r="F4" s="7" t="s">
        <v>74</v>
      </c>
      <c r="G4" s="7"/>
    </row>
    <row r="5" customFormat="false" ht="22.5" hidden="false" customHeight="true" outlineLevel="0" collapsed="false">
      <c r="A5" s="33" t="s">
        <v>291</v>
      </c>
      <c r="B5" s="33" t="s">
        <v>728</v>
      </c>
      <c r="C5" s="33" t="s">
        <v>293</v>
      </c>
      <c r="D5" s="34" t="n">
        <v>192168240122</v>
      </c>
      <c r="E5" s="33" t="s">
        <v>11</v>
      </c>
      <c r="F5" s="7" t="s">
        <v>74</v>
      </c>
      <c r="G5" s="7"/>
    </row>
    <row r="6" customFormat="false" ht="22.5" hidden="false" customHeight="true" outlineLevel="0" collapsed="false">
      <c r="A6" s="33" t="s">
        <v>729</v>
      </c>
      <c r="B6" s="33" t="s">
        <v>730</v>
      </c>
      <c r="C6" s="33" t="s">
        <v>731</v>
      </c>
      <c r="D6" s="33" t="s">
        <v>240</v>
      </c>
      <c r="E6" s="33" t="s">
        <v>11</v>
      </c>
      <c r="F6" s="7" t="s">
        <v>74</v>
      </c>
      <c r="G6" s="7"/>
    </row>
    <row r="7" customFormat="false" ht="22.5" hidden="false" customHeight="true" outlineLevel="0" collapsed="false">
      <c r="A7" s="11"/>
      <c r="B7" s="11"/>
      <c r="C7" s="11"/>
      <c r="D7" s="11"/>
      <c r="E7" s="11"/>
      <c r="F7" s="11"/>
      <c r="G7" s="11"/>
    </row>
    <row r="8" customFormat="false" ht="22.5" hidden="false" customHeight="true" outlineLevel="0" collapsed="false">
      <c r="A8" s="11"/>
      <c r="B8" s="11"/>
      <c r="C8" s="11"/>
      <c r="D8" s="11"/>
      <c r="E8" s="11"/>
      <c r="F8" s="11"/>
      <c r="G8" s="11"/>
    </row>
    <row r="9" customFormat="false" ht="22.5" hidden="false" customHeight="true" outlineLevel="0" collapsed="false">
      <c r="A9" s="11"/>
      <c r="B9" s="11"/>
      <c r="C9" s="11"/>
      <c r="D9" s="11"/>
      <c r="E9" s="11"/>
      <c r="F9" s="11"/>
      <c r="G9" s="11"/>
    </row>
    <row r="10" customFormat="false" ht="22.5" hidden="false" customHeight="true" outlineLevel="0" collapsed="false">
      <c r="A10" s="11"/>
      <c r="B10" s="11"/>
      <c r="C10" s="11"/>
      <c r="D10" s="11"/>
      <c r="E10" s="11"/>
      <c r="F10" s="11"/>
      <c r="G10" s="11"/>
    </row>
    <row r="11" customFormat="false" ht="22.5" hidden="false" customHeight="true" outlineLevel="0" collapsed="false">
      <c r="A11" s="11"/>
      <c r="B11" s="11"/>
      <c r="C11" s="11"/>
      <c r="D11" s="11"/>
      <c r="E11" s="11"/>
      <c r="F11" s="11"/>
      <c r="G11" s="11"/>
    </row>
    <row r="12" customFormat="false" ht="22.5" hidden="false" customHeight="true" outlineLevel="0" collapsed="false">
      <c r="A12" s="11"/>
      <c r="B12" s="11"/>
      <c r="C12" s="11"/>
      <c r="D12" s="11"/>
      <c r="E12" s="11"/>
      <c r="F12" s="11"/>
      <c r="G12" s="11"/>
    </row>
    <row r="13" customFormat="false" ht="22.5" hidden="false" customHeight="true" outlineLevel="0" collapsed="false">
      <c r="A13" s="11"/>
      <c r="B13" s="11"/>
      <c r="C13" s="11"/>
      <c r="D13" s="11"/>
      <c r="E13" s="11"/>
      <c r="F13" s="11"/>
      <c r="G13" s="11"/>
    </row>
    <row r="14" customFormat="false" ht="22.5" hidden="false" customHeight="true" outlineLevel="0" collapsed="false">
      <c r="A14" s="11"/>
      <c r="B14" s="11"/>
      <c r="C14" s="11"/>
      <c r="D14" s="11"/>
      <c r="E14" s="11"/>
      <c r="F14" s="11"/>
      <c r="G14" s="11"/>
    </row>
    <row r="15" customFormat="false" ht="22.5" hidden="false" customHeight="true" outlineLevel="0" collapsed="false">
      <c r="A15" s="11"/>
      <c r="B15" s="11"/>
      <c r="C15" s="11"/>
      <c r="D15" s="11"/>
      <c r="E15" s="11"/>
      <c r="F15" s="11"/>
      <c r="G15" s="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37.13"/>
    <col collapsed="false" customWidth="true" hidden="false" outlineLevel="0" max="3" min="3" style="1" width="34"/>
    <col collapsed="false" customWidth="true" hidden="false" outlineLevel="0" max="6" min="4" style="1" width="22.63"/>
    <col collapsed="false" customWidth="true" hidden="false" outlineLevel="0" max="7" min="7" style="1" width="33.88"/>
  </cols>
  <sheetData>
    <row r="1" customFormat="false" ht="22.5" hidden="false" customHeight="true" outlineLevel="0" collapsed="false">
      <c r="A1" s="2" t="s">
        <v>732</v>
      </c>
      <c r="B1" s="3" t="s">
        <v>1</v>
      </c>
      <c r="C1" s="3" t="s">
        <v>2</v>
      </c>
      <c r="D1" s="3" t="s">
        <v>3</v>
      </c>
      <c r="E1" s="3" t="s">
        <v>4</v>
      </c>
      <c r="F1" s="3" t="s">
        <v>5</v>
      </c>
      <c r="G1" s="4" t="s">
        <v>6</v>
      </c>
      <c r="H1" s="36" t="s">
        <v>733</v>
      </c>
    </row>
    <row r="2" customFormat="false" ht="22.5" hidden="false" customHeight="true" outlineLevel="0" collapsed="false">
      <c r="A2" s="19" t="s">
        <v>30</v>
      </c>
      <c r="B2" s="19" t="s">
        <v>307</v>
      </c>
      <c r="C2" s="19" t="s">
        <v>308</v>
      </c>
      <c r="D2" s="19" t="s">
        <v>309</v>
      </c>
      <c r="E2" s="19" t="s">
        <v>11</v>
      </c>
      <c r="F2" s="19"/>
      <c r="G2" s="19" t="s">
        <v>734</v>
      </c>
      <c r="H2" s="37"/>
    </row>
    <row r="3" customFormat="false" ht="22.5" hidden="true" customHeight="true" outlineLevel="0" collapsed="false">
      <c r="A3" s="16" t="s">
        <v>365</v>
      </c>
      <c r="B3" s="16" t="s">
        <v>366</v>
      </c>
      <c r="C3" s="16" t="s">
        <v>367</v>
      </c>
      <c r="D3" s="16" t="s">
        <v>368</v>
      </c>
      <c r="E3" s="16" t="s">
        <v>11</v>
      </c>
      <c r="F3" s="16"/>
      <c r="G3" s="16" t="s">
        <v>735</v>
      </c>
      <c r="H3" s="38"/>
    </row>
    <row r="4" customFormat="false" ht="22.5" hidden="false" customHeight="true" outlineLevel="0" collapsed="false">
      <c r="A4" s="19" t="s">
        <v>353</v>
      </c>
      <c r="B4" s="19" t="s">
        <v>354</v>
      </c>
      <c r="C4" s="19" t="s">
        <v>355</v>
      </c>
      <c r="D4" s="19" t="s">
        <v>736</v>
      </c>
      <c r="E4" s="19" t="s">
        <v>11</v>
      </c>
      <c r="F4" s="19"/>
      <c r="G4" s="19" t="s">
        <v>734</v>
      </c>
      <c r="H4" s="37"/>
    </row>
    <row r="5" customFormat="false" ht="22.5" hidden="true" customHeight="true" outlineLevel="0" collapsed="false">
      <c r="A5" s="16" t="s">
        <v>737</v>
      </c>
      <c r="B5" s="16" t="s">
        <v>738</v>
      </c>
      <c r="C5" s="16" t="s">
        <v>739</v>
      </c>
      <c r="D5" s="16" t="s">
        <v>740</v>
      </c>
      <c r="E5" s="16" t="s">
        <v>11</v>
      </c>
      <c r="F5" s="16"/>
      <c r="G5" s="16" t="s">
        <v>735</v>
      </c>
      <c r="H5" s="38"/>
    </row>
    <row r="6" customFormat="false" ht="22.5" hidden="true" customHeight="true" outlineLevel="0" collapsed="false">
      <c r="A6" s="16" t="s">
        <v>310</v>
      </c>
      <c r="B6" s="16" t="s">
        <v>311</v>
      </c>
      <c r="C6" s="16" t="s">
        <v>312</v>
      </c>
      <c r="D6" s="16" t="s">
        <v>741</v>
      </c>
      <c r="E6" s="16" t="s">
        <v>11</v>
      </c>
      <c r="F6" s="16"/>
      <c r="G6" s="16" t="s">
        <v>735</v>
      </c>
      <c r="H6" s="38"/>
    </row>
    <row r="7" customFormat="false" ht="22.5" hidden="true" customHeight="true" outlineLevel="0" collapsed="false">
      <c r="A7" s="16" t="s">
        <v>742</v>
      </c>
      <c r="B7" s="16" t="s">
        <v>116</v>
      </c>
      <c r="C7" s="16" t="s">
        <v>116</v>
      </c>
      <c r="D7" s="16" t="s">
        <v>743</v>
      </c>
      <c r="E7" s="16" t="s">
        <v>11</v>
      </c>
      <c r="F7" s="16"/>
      <c r="G7" s="16" t="s">
        <v>116</v>
      </c>
      <c r="H7" s="38"/>
    </row>
    <row r="8" customFormat="false" ht="22.5" hidden="true" customHeight="true" outlineLevel="0" collapsed="false">
      <c r="A8" s="16" t="s">
        <v>744</v>
      </c>
      <c r="B8" s="16" t="s">
        <v>745</v>
      </c>
      <c r="C8" s="16" t="s">
        <v>746</v>
      </c>
      <c r="D8" s="16" t="s">
        <v>747</v>
      </c>
      <c r="E8" s="16" t="s">
        <v>11</v>
      </c>
      <c r="F8" s="16"/>
      <c r="G8" s="16" t="s">
        <v>748</v>
      </c>
      <c r="H8" s="38"/>
    </row>
    <row r="9" customFormat="false" ht="22.5" hidden="false" customHeight="true" outlineLevel="0" collapsed="false">
      <c r="A9" s="19" t="s">
        <v>749</v>
      </c>
      <c r="B9" s="19" t="s">
        <v>750</v>
      </c>
      <c r="C9" s="19" t="s">
        <v>751</v>
      </c>
      <c r="D9" s="19" t="s">
        <v>752</v>
      </c>
      <c r="E9" s="19" t="s">
        <v>11</v>
      </c>
      <c r="F9" s="19"/>
      <c r="G9" s="19" t="s">
        <v>734</v>
      </c>
      <c r="H9" s="37"/>
    </row>
    <row r="10" customFormat="false" ht="22.5" hidden="false" customHeight="true" outlineLevel="0" collapsed="false">
      <c r="A10" s="19" t="s">
        <v>753</v>
      </c>
      <c r="B10" s="19" t="s">
        <v>754</v>
      </c>
      <c r="C10" s="19" t="s">
        <v>755</v>
      </c>
      <c r="D10" s="19" t="s">
        <v>756</v>
      </c>
      <c r="E10" s="19" t="s">
        <v>11</v>
      </c>
      <c r="F10" s="19"/>
      <c r="G10" s="19" t="s">
        <v>734</v>
      </c>
      <c r="H10" s="37"/>
    </row>
    <row r="11" customFormat="false" ht="22.5" hidden="true" customHeight="true" outlineLevel="0" collapsed="false">
      <c r="A11" s="16" t="s">
        <v>361</v>
      </c>
      <c r="B11" s="16" t="s">
        <v>362</v>
      </c>
      <c r="C11" s="16" t="s">
        <v>363</v>
      </c>
      <c r="D11" s="16" t="s">
        <v>757</v>
      </c>
      <c r="E11" s="16" t="s">
        <v>11</v>
      </c>
      <c r="F11" s="16"/>
      <c r="G11" s="39" t="s">
        <v>758</v>
      </c>
      <c r="H11" s="38"/>
    </row>
    <row r="12" customFormat="false" ht="22.5" hidden="false" customHeight="true" outlineLevel="0" collapsed="false">
      <c r="A12" s="19" t="s">
        <v>759</v>
      </c>
      <c r="B12" s="19" t="s">
        <v>760</v>
      </c>
      <c r="C12" s="19" t="s">
        <v>761</v>
      </c>
      <c r="D12" s="19" t="s">
        <v>762</v>
      </c>
      <c r="E12" s="19" t="s">
        <v>11</v>
      </c>
      <c r="F12" s="19"/>
      <c r="G12" s="19" t="s">
        <v>734</v>
      </c>
      <c r="H12" s="38"/>
    </row>
    <row r="13" customFormat="false" ht="22.5" hidden="true" customHeight="true" outlineLevel="0" collapsed="false">
      <c r="A13" s="16" t="s">
        <v>339</v>
      </c>
      <c r="B13" s="16" t="s">
        <v>340</v>
      </c>
      <c r="C13" s="16" t="s">
        <v>341</v>
      </c>
      <c r="D13" s="16" t="s">
        <v>763</v>
      </c>
      <c r="E13" s="16" t="s">
        <v>11</v>
      </c>
      <c r="F13" s="16"/>
      <c r="G13" s="40" t="s">
        <v>764</v>
      </c>
      <c r="H13" s="41"/>
    </row>
    <row r="14" customFormat="false" ht="22.5" hidden="true" customHeight="true" outlineLevel="0" collapsed="false">
      <c r="A14" s="16" t="s">
        <v>765</v>
      </c>
      <c r="B14" s="16" t="s">
        <v>766</v>
      </c>
      <c r="C14" s="16" t="s">
        <v>767</v>
      </c>
      <c r="D14" s="16" t="s">
        <v>768</v>
      </c>
      <c r="E14" s="16" t="s">
        <v>11</v>
      </c>
      <c r="F14" s="16"/>
      <c r="G14" s="40" t="s">
        <v>769</v>
      </c>
      <c r="H14" s="41"/>
    </row>
    <row r="15" customFormat="false" ht="22.5" hidden="true" customHeight="true" outlineLevel="0" collapsed="false">
      <c r="A15" s="16" t="s">
        <v>284</v>
      </c>
      <c r="B15" s="16" t="s">
        <v>770</v>
      </c>
      <c r="C15" s="16" t="s">
        <v>771</v>
      </c>
      <c r="D15" s="17" t="n">
        <v>192168134133</v>
      </c>
      <c r="E15" s="16" t="s">
        <v>11</v>
      </c>
      <c r="F15" s="16"/>
      <c r="G15" s="39" t="s">
        <v>772</v>
      </c>
      <c r="H15" s="41"/>
    </row>
    <row r="16" customFormat="false" ht="22.5" hidden="true" customHeight="true" outlineLevel="0" collapsed="false">
      <c r="A16" s="16" t="s">
        <v>773</v>
      </c>
      <c r="B16" s="16" t="s">
        <v>774</v>
      </c>
      <c r="C16" s="16" t="s">
        <v>775</v>
      </c>
      <c r="D16" s="16" t="s">
        <v>776</v>
      </c>
      <c r="E16" s="16" t="s">
        <v>11</v>
      </c>
      <c r="F16" s="16"/>
      <c r="G16" s="16" t="s">
        <v>735</v>
      </c>
      <c r="H16" s="38"/>
    </row>
    <row r="17" customFormat="false" ht="22.5" hidden="false" customHeight="true" outlineLevel="0" collapsed="false">
      <c r="A17" s="19" t="s">
        <v>286</v>
      </c>
      <c r="B17" s="19" t="s">
        <v>287</v>
      </c>
      <c r="C17" s="19" t="s">
        <v>288</v>
      </c>
      <c r="D17" s="19" t="s">
        <v>777</v>
      </c>
      <c r="E17" s="19" t="s">
        <v>11</v>
      </c>
      <c r="F17" s="19"/>
      <c r="G17" s="19" t="s">
        <v>734</v>
      </c>
      <c r="H17" s="37"/>
    </row>
    <row r="18" customFormat="false" ht="22.5" hidden="true" customHeight="true" outlineLevel="0" collapsed="false">
      <c r="A18" s="40" t="s">
        <v>427</v>
      </c>
      <c r="B18" s="40" t="s">
        <v>428</v>
      </c>
      <c r="C18" s="40" t="s">
        <v>429</v>
      </c>
      <c r="D18" s="40" t="s">
        <v>25</v>
      </c>
      <c r="E18" s="40" t="s">
        <v>11</v>
      </c>
      <c r="F18" s="40"/>
      <c r="G18" s="40" t="s">
        <v>778</v>
      </c>
      <c r="H18" s="38"/>
    </row>
    <row r="19" customFormat="false" ht="22.5" hidden="true" customHeight="true" outlineLevel="0" collapsed="false">
      <c r="A19" s="16" t="s">
        <v>357</v>
      </c>
      <c r="B19" s="16" t="s">
        <v>358</v>
      </c>
      <c r="C19" s="16" t="s">
        <v>779</v>
      </c>
      <c r="D19" s="16" t="s">
        <v>780</v>
      </c>
      <c r="E19" s="16" t="s">
        <v>11</v>
      </c>
      <c r="F19" s="16"/>
      <c r="G19" s="16" t="s">
        <v>735</v>
      </c>
      <c r="H19" s="38"/>
    </row>
    <row r="20" customFormat="false" ht="22.5" hidden="true" customHeight="true" outlineLevel="0" collapsed="false">
      <c r="A20" s="16" t="s">
        <v>781</v>
      </c>
      <c r="B20" s="16" t="s">
        <v>782</v>
      </c>
      <c r="C20" s="16" t="s">
        <v>783</v>
      </c>
      <c r="D20" s="16" t="s">
        <v>714</v>
      </c>
      <c r="E20" s="16" t="s">
        <v>11</v>
      </c>
      <c r="F20" s="16"/>
      <c r="G20" s="40" t="s">
        <v>784</v>
      </c>
      <c r="H20" s="41"/>
    </row>
    <row r="21" customFormat="false" ht="22.5" hidden="false" customHeight="true" outlineLevel="0" collapsed="false">
      <c r="A21" s="19" t="s">
        <v>785</v>
      </c>
      <c r="B21" s="19" t="s">
        <v>786</v>
      </c>
      <c r="C21" s="19" t="s">
        <v>787</v>
      </c>
      <c r="D21" s="19" t="s">
        <v>788</v>
      </c>
      <c r="E21" s="19" t="s">
        <v>11</v>
      </c>
      <c r="F21" s="19"/>
      <c r="G21" s="19" t="s">
        <v>734</v>
      </c>
      <c r="H21" s="37"/>
    </row>
    <row r="22" customFormat="false" ht="22.5" hidden="false" customHeight="true" outlineLevel="0" collapsed="false">
      <c r="A22" s="19" t="s">
        <v>789</v>
      </c>
      <c r="B22" s="19" t="s">
        <v>790</v>
      </c>
      <c r="C22" s="19" t="s">
        <v>791</v>
      </c>
      <c r="D22" s="19" t="s">
        <v>792</v>
      </c>
      <c r="E22" s="19" t="s">
        <v>11</v>
      </c>
      <c r="F22" s="19"/>
      <c r="G22" s="19" t="s">
        <v>734</v>
      </c>
      <c r="H22" s="38"/>
    </row>
    <row r="23" customFormat="false" ht="22.5" hidden="true" customHeight="true" outlineLevel="0" collapsed="false">
      <c r="A23" s="16" t="s">
        <v>303</v>
      </c>
      <c r="B23" s="16" t="s">
        <v>304</v>
      </c>
      <c r="C23" s="16" t="s">
        <v>305</v>
      </c>
      <c r="D23" s="16" t="s">
        <v>793</v>
      </c>
      <c r="E23" s="16" t="s">
        <v>11</v>
      </c>
      <c r="F23" s="16"/>
      <c r="G23" s="16" t="s">
        <v>735</v>
      </c>
      <c r="H23" s="38"/>
    </row>
    <row r="24" customFormat="false" ht="22.5" hidden="false" customHeight="true" outlineLevel="0" collapsed="false">
      <c r="A24" s="19" t="s">
        <v>295</v>
      </c>
      <c r="B24" s="19" t="s">
        <v>296</v>
      </c>
      <c r="C24" s="19" t="s">
        <v>794</v>
      </c>
      <c r="D24" s="19" t="s">
        <v>439</v>
      </c>
      <c r="E24" s="19" t="s">
        <v>11</v>
      </c>
      <c r="F24" s="19"/>
      <c r="G24" s="19" t="s">
        <v>734</v>
      </c>
      <c r="H24" s="38"/>
    </row>
    <row r="25" customFormat="false" ht="22.5" hidden="false" customHeight="true" outlineLevel="0" collapsed="false">
      <c r="A25" s="19" t="s">
        <v>795</v>
      </c>
      <c r="B25" s="19" t="s">
        <v>796</v>
      </c>
      <c r="C25" s="19" t="s">
        <v>797</v>
      </c>
      <c r="D25" s="19" t="s">
        <v>496</v>
      </c>
      <c r="E25" s="19" t="s">
        <v>11</v>
      </c>
      <c r="F25" s="19"/>
      <c r="G25" s="19" t="s">
        <v>734</v>
      </c>
      <c r="H25" s="38"/>
    </row>
    <row r="26" customFormat="false" ht="22.5" hidden="false" customHeight="true" outlineLevel="0" collapsed="false">
      <c r="A26" s="19" t="s">
        <v>798</v>
      </c>
      <c r="B26" s="19" t="s">
        <v>799</v>
      </c>
      <c r="C26" s="19" t="s">
        <v>800</v>
      </c>
      <c r="D26" s="19" t="s">
        <v>801</v>
      </c>
      <c r="E26" s="19" t="s">
        <v>11</v>
      </c>
      <c r="F26" s="19"/>
      <c r="G26" s="19" t="s">
        <v>734</v>
      </c>
      <c r="H26" s="37"/>
    </row>
    <row r="27" customFormat="false" ht="22.5" hidden="true" customHeight="true" outlineLevel="0" collapsed="false">
      <c r="A27" s="16" t="s">
        <v>346</v>
      </c>
      <c r="B27" s="16" t="s">
        <v>347</v>
      </c>
      <c r="C27" s="16" t="s">
        <v>348</v>
      </c>
      <c r="D27" s="16" t="s">
        <v>802</v>
      </c>
      <c r="E27" s="16" t="s">
        <v>11</v>
      </c>
      <c r="F27" s="16"/>
      <c r="G27" s="16" t="s">
        <v>803</v>
      </c>
      <c r="H27" s="38"/>
    </row>
    <row r="28" customFormat="false" ht="22.5" hidden="true" customHeight="true" outlineLevel="0" collapsed="false">
      <c r="A28" s="16" t="s">
        <v>299</v>
      </c>
      <c r="B28" s="16" t="s">
        <v>300</v>
      </c>
      <c r="C28" s="16" t="s">
        <v>301</v>
      </c>
      <c r="D28" s="16" t="s">
        <v>302</v>
      </c>
      <c r="E28" s="16" t="s">
        <v>11</v>
      </c>
      <c r="F28" s="16"/>
      <c r="G28" s="16" t="s">
        <v>735</v>
      </c>
      <c r="H28" s="38"/>
    </row>
    <row r="29" customFormat="false" ht="22.5" hidden="false" customHeight="true" outlineLevel="0" collapsed="false">
      <c r="A29" s="19" t="s">
        <v>804</v>
      </c>
      <c r="B29" s="19" t="s">
        <v>805</v>
      </c>
      <c r="C29" s="19" t="s">
        <v>806</v>
      </c>
      <c r="D29" s="19" t="s">
        <v>807</v>
      </c>
      <c r="E29" s="19" t="s">
        <v>11</v>
      </c>
      <c r="F29" s="19"/>
      <c r="G29" s="19" t="s">
        <v>734</v>
      </c>
      <c r="H29" s="38"/>
    </row>
    <row r="30" customFormat="false" ht="22.5" hidden="false" customHeight="true" outlineLevel="0" collapsed="false">
      <c r="A30" s="19" t="s">
        <v>291</v>
      </c>
      <c r="B30" s="19" t="s">
        <v>292</v>
      </c>
      <c r="C30" s="19" t="s">
        <v>293</v>
      </c>
      <c r="D30" s="19" t="s">
        <v>808</v>
      </c>
      <c r="E30" s="19" t="s">
        <v>11</v>
      </c>
      <c r="F30" s="19"/>
      <c r="G30" s="19" t="s">
        <v>734</v>
      </c>
      <c r="H30" s="37"/>
    </row>
    <row r="31" customFormat="false" ht="22.5" hidden="true" customHeight="true" outlineLevel="0" collapsed="false">
      <c r="A31" s="16" t="s">
        <v>809</v>
      </c>
      <c r="B31" s="16" t="s">
        <v>810</v>
      </c>
      <c r="C31" s="16" t="s">
        <v>811</v>
      </c>
      <c r="D31" s="16" t="s">
        <v>812</v>
      </c>
      <c r="E31" s="16" t="s">
        <v>11</v>
      </c>
      <c r="F31" s="16"/>
      <c r="G31" s="16" t="s">
        <v>735</v>
      </c>
      <c r="H31" s="38"/>
    </row>
    <row r="32" customFormat="false" ht="22.5" hidden="false" customHeight="true" outlineLevel="0" collapsed="false">
      <c r="A32" s="19" t="s">
        <v>436</v>
      </c>
      <c r="B32" s="19" t="s">
        <v>437</v>
      </c>
      <c r="C32" s="19" t="s">
        <v>438</v>
      </c>
      <c r="D32" s="19" t="s">
        <v>813</v>
      </c>
      <c r="E32" s="19" t="s">
        <v>11</v>
      </c>
      <c r="F32" s="19"/>
      <c r="G32" s="19" t="s">
        <v>734</v>
      </c>
      <c r="H32" s="37"/>
    </row>
    <row r="33" customFormat="false" ht="22.5" hidden="false" customHeight="true" outlineLevel="0" collapsed="false">
      <c r="A33" s="19" t="s">
        <v>59</v>
      </c>
      <c r="B33" s="19" t="s">
        <v>814</v>
      </c>
      <c r="C33" s="19" t="s">
        <v>815</v>
      </c>
      <c r="D33" s="19" t="s">
        <v>816</v>
      </c>
      <c r="E33" s="19" t="s">
        <v>11</v>
      </c>
      <c r="F33" s="19"/>
      <c r="G33" s="19" t="s">
        <v>734</v>
      </c>
      <c r="H33" s="37"/>
    </row>
    <row r="34" customFormat="false" ht="22.5" hidden="true" customHeight="true" outlineLevel="0" collapsed="false">
      <c r="A34" s="16" t="s">
        <v>817</v>
      </c>
      <c r="B34" s="16" t="s">
        <v>818</v>
      </c>
      <c r="C34" s="16" t="s">
        <v>819</v>
      </c>
      <c r="D34" s="16" t="s">
        <v>776</v>
      </c>
      <c r="E34" s="16" t="s">
        <v>11</v>
      </c>
      <c r="F34" s="16"/>
      <c r="G34" s="16"/>
      <c r="H34" s="38"/>
    </row>
    <row r="35" customFormat="false" ht="22.5" hidden="false" customHeight="true" outlineLevel="0" collapsed="false">
      <c r="A35" s="19" t="s">
        <v>625</v>
      </c>
      <c r="B35" s="19" t="s">
        <v>626</v>
      </c>
      <c r="C35" s="19" t="s">
        <v>820</v>
      </c>
      <c r="D35" s="19" t="s">
        <v>593</v>
      </c>
      <c r="E35" s="19" t="s">
        <v>11</v>
      </c>
      <c r="F35" s="19"/>
      <c r="G35" s="19" t="s">
        <v>734</v>
      </c>
      <c r="H35" s="37"/>
    </row>
    <row r="36" customFormat="false" ht="22.5" hidden="false" customHeight="true" outlineLevel="0" collapsed="false">
      <c r="A36" s="19" t="s">
        <v>821</v>
      </c>
      <c r="B36" s="19" t="s">
        <v>822</v>
      </c>
      <c r="C36" s="19" t="s">
        <v>823</v>
      </c>
      <c r="D36" s="19" t="s">
        <v>824</v>
      </c>
      <c r="E36" s="19" t="s">
        <v>11</v>
      </c>
      <c r="F36" s="19"/>
      <c r="G36" s="19" t="s">
        <v>734</v>
      </c>
      <c r="H36" s="37"/>
    </row>
    <row r="37" customFormat="false" ht="22.5" hidden="false" customHeight="true" outlineLevel="0" collapsed="false">
      <c r="A37" s="19" t="s">
        <v>331</v>
      </c>
      <c r="B37" s="19" t="s">
        <v>332</v>
      </c>
      <c r="C37" s="19" t="s">
        <v>825</v>
      </c>
      <c r="D37" s="19" t="s">
        <v>826</v>
      </c>
      <c r="E37" s="19" t="s">
        <v>11</v>
      </c>
      <c r="F37" s="19"/>
      <c r="G37" s="19" t="s">
        <v>734</v>
      </c>
      <c r="H37" s="38"/>
    </row>
    <row r="38" customFormat="false" ht="22.5" hidden="false" customHeight="true" outlineLevel="0" collapsed="false">
      <c r="A38" s="19" t="s">
        <v>317</v>
      </c>
      <c r="B38" s="19" t="s">
        <v>318</v>
      </c>
      <c r="C38" s="19" t="s">
        <v>319</v>
      </c>
      <c r="D38" s="19" t="s">
        <v>86</v>
      </c>
      <c r="E38" s="19" t="s">
        <v>11</v>
      </c>
      <c r="F38" s="19"/>
      <c r="G38" s="19" t="s">
        <v>734</v>
      </c>
      <c r="H38" s="37"/>
    </row>
    <row r="39" customFormat="false" ht="22.5" hidden="false" customHeight="true" outlineLevel="0" collapsed="false">
      <c r="A39" s="19" t="s">
        <v>827</v>
      </c>
      <c r="B39" s="19" t="s">
        <v>828</v>
      </c>
      <c r="C39" s="19" t="s">
        <v>829</v>
      </c>
      <c r="D39" s="20" t="n">
        <v>192168134223</v>
      </c>
      <c r="E39" s="19" t="s">
        <v>11</v>
      </c>
      <c r="F39" s="19"/>
      <c r="G39" s="19" t="s">
        <v>734</v>
      </c>
      <c r="H39" s="38"/>
    </row>
    <row r="40" customFormat="false" ht="22.5" hidden="true" customHeight="true" outlineLevel="0" collapsed="false">
      <c r="A40" s="16" t="s">
        <v>830</v>
      </c>
      <c r="B40" s="16" t="s">
        <v>831</v>
      </c>
      <c r="C40" s="16" t="s">
        <v>832</v>
      </c>
      <c r="D40" s="16" t="s">
        <v>86</v>
      </c>
      <c r="E40" s="16" t="s">
        <v>11</v>
      </c>
      <c r="F40" s="16"/>
      <c r="G40" s="16"/>
      <c r="H40" s="38"/>
    </row>
    <row r="41" customFormat="false" ht="22.5" hidden="true" customHeight="true" outlineLevel="0" collapsed="false">
      <c r="A41" s="40" t="s">
        <v>350</v>
      </c>
      <c r="B41" s="40" t="s">
        <v>351</v>
      </c>
      <c r="C41" s="40" t="s">
        <v>833</v>
      </c>
      <c r="D41" s="40" t="s">
        <v>86</v>
      </c>
      <c r="E41" s="40" t="s">
        <v>11</v>
      </c>
      <c r="F41" s="40"/>
      <c r="G41" s="40" t="s">
        <v>778</v>
      </c>
      <c r="H41" s="41"/>
    </row>
    <row r="42" customFormat="false" ht="22.5" hidden="false" customHeight="true" outlineLevel="0" collapsed="false">
      <c r="A42" s="19" t="s">
        <v>320</v>
      </c>
      <c r="B42" s="19" t="s">
        <v>321</v>
      </c>
      <c r="C42" s="19" t="s">
        <v>322</v>
      </c>
      <c r="D42" s="19" t="s">
        <v>496</v>
      </c>
      <c r="E42" s="19" t="s">
        <v>11</v>
      </c>
      <c r="F42" s="19"/>
      <c r="G42" s="19" t="s">
        <v>734</v>
      </c>
      <c r="H42" s="37"/>
    </row>
    <row r="43" customFormat="false" ht="22.5" hidden="true" customHeight="true" outlineLevel="0" collapsed="false">
      <c r="A43" s="16" t="s">
        <v>834</v>
      </c>
      <c r="B43" s="16" t="s">
        <v>835</v>
      </c>
      <c r="C43" s="16" t="s">
        <v>836</v>
      </c>
      <c r="D43" s="16" t="s">
        <v>240</v>
      </c>
      <c r="E43" s="16" t="s">
        <v>11</v>
      </c>
      <c r="F43" s="16"/>
      <c r="G43" s="16" t="s">
        <v>735</v>
      </c>
      <c r="H43" s="38"/>
    </row>
    <row r="44" customFormat="false" ht="22.5" hidden="false" customHeight="true" outlineLevel="0" collapsed="false">
      <c r="A44" s="19" t="s">
        <v>314</v>
      </c>
      <c r="B44" s="19" t="s">
        <v>315</v>
      </c>
      <c r="C44" s="19" t="s">
        <v>316</v>
      </c>
      <c r="D44" s="19" t="s">
        <v>837</v>
      </c>
      <c r="E44" s="19" t="s">
        <v>11</v>
      </c>
      <c r="F44" s="19"/>
      <c r="G44" s="19" t="s">
        <v>734</v>
      </c>
      <c r="H44" s="37"/>
    </row>
    <row r="45" customFormat="false" ht="22.5" hidden="true" customHeight="true" outlineLevel="0" collapsed="false">
      <c r="A45" s="16" t="s">
        <v>343</v>
      </c>
      <c r="B45" s="16" t="s">
        <v>344</v>
      </c>
      <c r="C45" s="16" t="s">
        <v>838</v>
      </c>
      <c r="D45" s="17" t="n">
        <v>192168168176</v>
      </c>
      <c r="E45" s="16" t="s">
        <v>11</v>
      </c>
      <c r="F45" s="16"/>
      <c r="G45" s="16"/>
      <c r="H45" s="38"/>
    </row>
    <row r="46" customFormat="false" ht="22.5" hidden="false" customHeight="true" outlineLevel="0" collapsed="false">
      <c r="A46" s="19" t="s">
        <v>839</v>
      </c>
      <c r="B46" s="19" t="s">
        <v>840</v>
      </c>
      <c r="C46" s="19" t="s">
        <v>841</v>
      </c>
      <c r="D46" s="19" t="s">
        <v>842</v>
      </c>
      <c r="E46" s="19" t="s">
        <v>11</v>
      </c>
      <c r="F46" s="19"/>
      <c r="G46" s="19" t="s">
        <v>734</v>
      </c>
      <c r="H46" s="38"/>
    </row>
    <row r="47" customFormat="false" ht="22.5" hidden="true" customHeight="true" outlineLevel="0" collapsed="false">
      <c r="A47" s="16" t="s">
        <v>57</v>
      </c>
      <c r="B47" s="16" t="s">
        <v>843</v>
      </c>
      <c r="C47" s="16" t="s">
        <v>844</v>
      </c>
      <c r="D47" s="16" t="s">
        <v>164</v>
      </c>
      <c r="E47" s="16" t="s">
        <v>11</v>
      </c>
      <c r="F47" s="16"/>
      <c r="G47" s="16" t="s">
        <v>845</v>
      </c>
      <c r="H47" s="38"/>
    </row>
    <row r="48" customFormat="false" ht="22.5" hidden="false" customHeight="true" outlineLevel="0" collapsed="false">
      <c r="A48" s="19" t="s">
        <v>335</v>
      </c>
      <c r="B48" s="19" t="s">
        <v>336</v>
      </c>
      <c r="C48" s="19" t="s">
        <v>337</v>
      </c>
      <c r="D48" s="19" t="s">
        <v>846</v>
      </c>
      <c r="E48" s="19" t="s">
        <v>11</v>
      </c>
      <c r="F48" s="19"/>
      <c r="G48" s="19" t="s">
        <v>734</v>
      </c>
      <c r="H48" s="37"/>
    </row>
    <row r="49" customFormat="false" ht="22.5" hidden="true" customHeight="true" outlineLevel="0" collapsed="false">
      <c r="A49" s="16" t="s">
        <v>847</v>
      </c>
      <c r="B49" s="16" t="s">
        <v>848</v>
      </c>
      <c r="C49" s="16" t="s">
        <v>849</v>
      </c>
      <c r="D49" s="16" t="s">
        <v>850</v>
      </c>
      <c r="E49" s="16" t="s">
        <v>11</v>
      </c>
      <c r="F49" s="16"/>
      <c r="G49" s="16" t="s">
        <v>735</v>
      </c>
      <c r="H49" s="38"/>
    </row>
    <row r="50" customFormat="false" ht="22.5" hidden="true" customHeight="true" outlineLevel="0" collapsed="false">
      <c r="A50" s="16" t="s">
        <v>328</v>
      </c>
      <c r="B50" s="16" t="s">
        <v>329</v>
      </c>
      <c r="C50" s="16" t="s">
        <v>851</v>
      </c>
      <c r="D50" s="16" t="s">
        <v>852</v>
      </c>
      <c r="E50" s="16" t="s">
        <v>11</v>
      </c>
      <c r="F50" s="16"/>
      <c r="G50" s="16" t="s">
        <v>853</v>
      </c>
      <c r="H50" s="3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1" min="1" style="1" width="22.63"/>
    <col collapsed="false" customWidth="true" hidden="false" outlineLevel="0" max="2" min="2" style="1" width="23.88"/>
    <col collapsed="false" customWidth="true" hidden="false" outlineLevel="0" max="3" min="3" style="1" width="27.13"/>
    <col collapsed="false" customWidth="true" hidden="false" outlineLevel="0" max="6" min="4" style="1" width="22.63"/>
  </cols>
  <sheetData>
    <row r="1" customFormat="false" ht="22.5" hidden="false" customHeight="true" outlineLevel="0" collapsed="false">
      <c r="A1" s="2" t="s">
        <v>65</v>
      </c>
      <c r="B1" s="3" t="s">
        <v>1</v>
      </c>
      <c r="C1" s="3" t="s">
        <v>2</v>
      </c>
      <c r="D1" s="3" t="s">
        <v>3</v>
      </c>
      <c r="E1" s="3" t="s">
        <v>4</v>
      </c>
      <c r="F1" s="3" t="s">
        <v>5</v>
      </c>
      <c r="G1" s="4" t="s">
        <v>6</v>
      </c>
    </row>
    <row r="2" customFormat="false" ht="22.5" hidden="false" customHeight="true" outlineLevel="0" collapsed="false">
      <c r="A2" s="7" t="s">
        <v>647</v>
      </c>
      <c r="B2" s="7" t="str">
        <f aca="false">IFERROR(__xludf.dummyfunction("VLOOKUP(A2, IMPORTRANGE(""https://docs.google.com/spreadsheets/d/1HptRI86fxRlM-8UuBwJLGHxM1tfAqdBn-My234jkv6U/edit?gid=0#gid=0"", ""Usuarios!B:D""), 2, FALSE)"),"JOSE MARTIN GOMEZ LOPEZ")</f>
        <v>JOSE MARTIN GOMEZ LOPEZ</v>
      </c>
      <c r="C2" s="7" t="str">
        <f aca="false">IFERROR(__xludf.dummyfunction("VLOOKUP(A2, IMPORTRANGE(""https://docs.google.com/spreadsheets/d/1HptRI86fxRlM-8UuBwJLGHxM1tfAqdBn-My234jkv6U/edit?gid=0#gid=0"", ""Usuarios!B:D""), 3, FALSE)"),"jose.gomez@juanvaldezcafe.com")</f>
        <v>jose.gomez@juanvaldezcafe.com</v>
      </c>
      <c r="D2" s="34" t="n">
        <v>192168240104</v>
      </c>
      <c r="E2" s="33" t="s">
        <v>11</v>
      </c>
      <c r="F2" s="7"/>
      <c r="G2" s="33" t="s">
        <v>734</v>
      </c>
    </row>
    <row r="3" customFormat="false" ht="22.5" hidden="false" customHeight="true" outlineLevel="0" collapsed="false">
      <c r="A3" s="7" t="s">
        <v>854</v>
      </c>
      <c r="B3" s="7" t="str">
        <f aca="false">IFERROR(__xludf.dummyfunction("VLOOKUP(A3, IMPORTRANGE(""https://docs.google.com/spreadsheets/d/1HptRI86fxRlM-8UuBwJLGHxM1tfAqdBn-My234jkv6U/edit?gid=0#gid=0"", ""Usuarios!B:D""), 2, FALSE)"),"IVONNE LIZETH CUBILLOS ARIZA")</f>
        <v>IVONNE LIZETH CUBILLOS ARIZA</v>
      </c>
      <c r="C3" s="7" t="str">
        <f aca="false">IFERROR(__xludf.dummyfunction("VLOOKUP(A3, IMPORTRANGE(""https://docs.google.com/spreadsheets/d/1HptRI86fxRlM-8UuBwJLGHxM1tfAqdBn-My234jkv6U/edit?gid=0#gid=0"", ""Usuarios!B:D""), 3, FALSE)"),"lizeth.cubillos@juanvaldezcafe.com")</f>
        <v>lizeth.cubillos@juanvaldezcafe.com</v>
      </c>
      <c r="D3" s="33" t="s">
        <v>855</v>
      </c>
      <c r="E3" s="33" t="s">
        <v>11</v>
      </c>
      <c r="F3" s="7"/>
      <c r="G3" s="33" t="s">
        <v>734</v>
      </c>
    </row>
    <row r="4" customFormat="false" ht="22.5" hidden="false" customHeight="true" outlineLevel="0" collapsed="false">
      <c r="A4" s="7" t="s">
        <v>856</v>
      </c>
      <c r="B4" s="7" t="str">
        <f aca="false">IFERROR(__xludf.dummyfunction("VLOOKUP(A4, IMPORTRANGE(""https://docs.google.com/spreadsheets/d/1HptRI86fxRlM-8UuBwJLGHxM1tfAqdBn-My234jkv6U/edit?gid=0#gid=0"", ""Usuarios!B:D""), 2, FALSE)"),"JUAN CAMILO BEJARANO BAUTISTA")</f>
        <v>JUAN CAMILO BEJARANO BAUTISTA</v>
      </c>
      <c r="C4" s="7" t="str">
        <f aca="false">IFERROR(__xludf.dummyfunction("VLOOKUP(A4, IMPORTRANGE(""https://docs.google.com/spreadsheets/d/1HptRI86fxRlM-8UuBwJLGHxM1tfAqdBn-My234jkv6U/edit?gid=0#gid=0"", ""Usuarios!B:D""), 3, FALSE)"),"camilo.bejarano@juanvaldezcafe.com")</f>
        <v>camilo.bejarano@juanvaldezcafe.com</v>
      </c>
      <c r="D4" s="33" t="s">
        <v>857</v>
      </c>
      <c r="E4" s="33" t="s">
        <v>11</v>
      </c>
      <c r="F4" s="7"/>
      <c r="G4" s="33" t="s">
        <v>734</v>
      </c>
    </row>
    <row r="5" customFormat="false" ht="22.5" hidden="false" customHeight="true" outlineLevel="0" collapsed="false">
      <c r="A5" s="7" t="s">
        <v>63</v>
      </c>
      <c r="B5" s="7" t="str">
        <f aca="false">IFERROR(__xludf.dummyfunction("VLOOKUP(A5, IMPORTRANGE(""https://docs.google.com/spreadsheets/d/1HptRI86fxRlM-8UuBwJLGHxM1tfAqdBn-My234jkv6U/edit?gid=0#gid=0"", ""Usuarios!B:D""), 2, FALSE)"),"LUZ MARINA PINZON IBARRA")</f>
        <v>LUZ MARINA PINZON IBARRA</v>
      </c>
      <c r="C5" s="7" t="str">
        <f aca="false">IFERROR(__xludf.dummyfunction("VLOOKUP(A5, IMPORTRANGE(""https://docs.google.com/spreadsheets/d/1HptRI86fxRlM-8UuBwJLGHxM1tfAqdBn-My234jkv6U/edit?gid=0#gid=0"", ""Usuarios!B:D""), 3, FALSE)"),"luz.pinzon@juanvaldezcafe.com")</f>
        <v>luz.pinzon@juanvaldezcafe.com</v>
      </c>
      <c r="D5" s="34" t="n">
        <v>192168240197</v>
      </c>
      <c r="E5" s="33" t="s">
        <v>11</v>
      </c>
      <c r="F5" s="7"/>
      <c r="G5" s="33" t="s">
        <v>734</v>
      </c>
    </row>
    <row r="6" customFormat="false" ht="22.5" hidden="false" customHeight="true" outlineLevel="0" collapsed="false">
      <c r="A6" s="7" t="s">
        <v>858</v>
      </c>
      <c r="B6" s="7" t="str">
        <f aca="false">IFERROR(__xludf.dummyfunction("VLOOKUP(A6, IMPORTRANGE(""https://docs.google.com/spreadsheets/d/1HptRI86fxRlM-8UuBwJLGHxM1tfAqdBn-My234jkv6U/edit?gid=0#gid=0"", ""Usuarios!B:D""), 2, FALSE)"),"SANTIAGO GONZALEZ OTERO")</f>
        <v>SANTIAGO GONZALEZ OTERO</v>
      </c>
      <c r="C6" s="7" t="str">
        <f aca="false">IFERROR(__xludf.dummyfunction("VLOOKUP(A6, IMPORTRANGE(""https://docs.google.com/spreadsheets/d/1HptRI86fxRlM-8UuBwJLGHxM1tfAqdBn-My234jkv6U/edit?gid=0#gid=0"", ""Usuarios!B:D""), 3, FALSE)"),"santiago.gonzalez@juanvaldezcafe.com")</f>
        <v>santiago.gonzalez@juanvaldezcafe.com</v>
      </c>
      <c r="D6" s="33" t="s">
        <v>859</v>
      </c>
      <c r="E6" s="33" t="s">
        <v>11</v>
      </c>
      <c r="F6" s="7"/>
      <c r="G6" s="33" t="s">
        <v>734</v>
      </c>
    </row>
    <row r="7" customFormat="false" ht="22.5" hidden="false" customHeight="true" outlineLevel="0" collapsed="false">
      <c r="A7" s="11"/>
      <c r="B7" s="11"/>
      <c r="C7" s="11"/>
      <c r="D7" s="11"/>
      <c r="E7" s="11"/>
      <c r="F7" s="11"/>
      <c r="G7" s="11"/>
    </row>
    <row r="8" customFormat="false" ht="22.5" hidden="false" customHeight="true" outlineLevel="0" collapsed="false">
      <c r="A8" s="11"/>
      <c r="B8" s="11"/>
      <c r="C8" s="11"/>
      <c r="D8" s="11"/>
      <c r="E8" s="11"/>
      <c r="F8" s="11"/>
      <c r="G8" s="11"/>
    </row>
    <row r="9" customFormat="false" ht="22.5" hidden="false" customHeight="true" outlineLevel="0" collapsed="false">
      <c r="A9" s="11"/>
      <c r="B9" s="11"/>
      <c r="C9" s="11"/>
      <c r="D9" s="11"/>
      <c r="E9" s="11"/>
      <c r="F9" s="11"/>
      <c r="G9" s="11"/>
    </row>
    <row r="10" customFormat="false" ht="22.5" hidden="false" customHeight="true" outlineLevel="0" collapsed="false">
      <c r="A10" s="11"/>
      <c r="B10" s="11"/>
      <c r="C10" s="11"/>
      <c r="D10" s="11"/>
      <c r="E10" s="11"/>
      <c r="F10" s="11"/>
      <c r="G10" s="11"/>
    </row>
    <row r="11" customFormat="false" ht="22.5" hidden="false" customHeight="true" outlineLevel="0" collapsed="false">
      <c r="A11" s="11"/>
      <c r="B11" s="11"/>
      <c r="C11" s="11"/>
      <c r="D11" s="11"/>
      <c r="E11" s="11"/>
      <c r="F11" s="11"/>
      <c r="G11" s="11"/>
    </row>
    <row r="12" customFormat="false" ht="22.5" hidden="false" customHeight="true" outlineLevel="0" collapsed="false">
      <c r="A12" s="11"/>
      <c r="B12" s="11"/>
      <c r="C12" s="11"/>
      <c r="D12" s="11"/>
      <c r="E12" s="11"/>
      <c r="F12" s="11"/>
      <c r="G12" s="11"/>
    </row>
    <row r="13" customFormat="false" ht="22.5" hidden="false" customHeight="true" outlineLevel="0" collapsed="false">
      <c r="A13" s="11"/>
      <c r="B13" s="11"/>
      <c r="C13" s="11"/>
      <c r="D13" s="11"/>
      <c r="E13" s="11"/>
      <c r="F13" s="11"/>
      <c r="G13" s="11"/>
    </row>
    <row r="14" customFormat="false" ht="22.5" hidden="false" customHeight="true" outlineLevel="0" collapsed="false">
      <c r="A14" s="11"/>
      <c r="B14" s="11"/>
      <c r="C14" s="11"/>
      <c r="D14" s="11"/>
      <c r="E14" s="11"/>
      <c r="F14" s="11"/>
      <c r="G14" s="11"/>
    </row>
    <row r="15" customFormat="false" ht="22.5" hidden="false" customHeight="true" outlineLevel="0" collapsed="false">
      <c r="A15" s="11"/>
      <c r="B15" s="11"/>
      <c r="C15" s="11"/>
      <c r="D15" s="11"/>
      <c r="E15" s="11"/>
      <c r="F15" s="11"/>
      <c r="G15" s="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6" min="1" style="1" width="22.63"/>
  </cols>
  <sheetData>
    <row r="1" customFormat="false" ht="22.5" hidden="false" customHeight="true" outlineLevel="0" collapsed="false">
      <c r="A1" s="2" t="s">
        <v>65</v>
      </c>
      <c r="B1" s="3" t="s">
        <v>1</v>
      </c>
      <c r="C1" s="3" t="s">
        <v>2</v>
      </c>
      <c r="D1" s="3" t="s">
        <v>3</v>
      </c>
      <c r="E1" s="3" t="s">
        <v>4</v>
      </c>
      <c r="F1" s="3" t="s">
        <v>5</v>
      </c>
      <c r="G1" s="4" t="s">
        <v>6</v>
      </c>
    </row>
    <row r="2" customFormat="false" ht="22.5" hidden="false" customHeight="true" outlineLevel="0" collapsed="false">
      <c r="A2" s="10" t="s">
        <v>411</v>
      </c>
      <c r="B2" s="10" t="s">
        <v>412</v>
      </c>
      <c r="C2" s="10" t="s">
        <v>413</v>
      </c>
      <c r="D2" s="10" t="s">
        <v>414</v>
      </c>
      <c r="E2" s="10" t="s">
        <v>11</v>
      </c>
      <c r="F2" s="10" t="s">
        <v>12</v>
      </c>
      <c r="G2" s="10" t="s">
        <v>860</v>
      </c>
    </row>
    <row r="3" customFormat="false" ht="22.5" hidden="false" customHeight="true" outlineLevel="0" collapsed="false">
      <c r="A3" s="10" t="s">
        <v>401</v>
      </c>
      <c r="B3" s="10" t="s">
        <v>402</v>
      </c>
      <c r="C3" s="10" t="s">
        <v>403</v>
      </c>
      <c r="D3" s="10" t="s">
        <v>404</v>
      </c>
      <c r="E3" s="10" t="s">
        <v>11</v>
      </c>
      <c r="F3" s="10" t="s">
        <v>12</v>
      </c>
      <c r="G3" s="10" t="s">
        <v>860</v>
      </c>
    </row>
    <row r="4" customFormat="false" ht="22.5" hidden="false" customHeight="true" outlineLevel="0" collapsed="false">
      <c r="A4" s="10" t="s">
        <v>416</v>
      </c>
      <c r="B4" s="10" t="s">
        <v>417</v>
      </c>
      <c r="C4" s="10" t="s">
        <v>418</v>
      </c>
      <c r="D4" s="10" t="s">
        <v>110</v>
      </c>
      <c r="E4" s="10" t="s">
        <v>11</v>
      </c>
      <c r="F4" s="10" t="s">
        <v>12</v>
      </c>
      <c r="G4" s="10" t="s">
        <v>860</v>
      </c>
    </row>
    <row r="5" customFormat="false" ht="22.5" hidden="false" customHeight="true" outlineLevel="0" collapsed="false">
      <c r="A5" s="10" t="s">
        <v>419</v>
      </c>
      <c r="B5" s="10" t="s">
        <v>420</v>
      </c>
      <c r="C5" s="10" t="s">
        <v>421</v>
      </c>
      <c r="D5" s="10" t="s">
        <v>422</v>
      </c>
      <c r="E5" s="10" t="s">
        <v>11</v>
      </c>
      <c r="F5" s="10" t="s">
        <v>12</v>
      </c>
      <c r="G5" s="10" t="s">
        <v>860</v>
      </c>
    </row>
    <row r="6" customFormat="false" ht="22.5" hidden="false" customHeight="true" outlineLevel="0" collapsed="false">
      <c r="A6" s="10" t="s">
        <v>423</v>
      </c>
      <c r="B6" s="10" t="s">
        <v>424</v>
      </c>
      <c r="C6" s="10" t="s">
        <v>425</v>
      </c>
      <c r="D6" s="10" t="s">
        <v>426</v>
      </c>
      <c r="E6" s="10" t="s">
        <v>11</v>
      </c>
      <c r="F6" s="10" t="s">
        <v>12</v>
      </c>
      <c r="G6" s="10" t="s">
        <v>860</v>
      </c>
    </row>
    <row r="7" customFormat="false" ht="22.5" hidden="false" customHeight="true" outlineLevel="0" collapsed="false">
      <c r="A7" s="10" t="s">
        <v>427</v>
      </c>
      <c r="B7" s="10" t="s">
        <v>428</v>
      </c>
      <c r="C7" s="10" t="s">
        <v>429</v>
      </c>
      <c r="D7" s="10" t="s">
        <v>25</v>
      </c>
      <c r="E7" s="10" t="s">
        <v>11</v>
      </c>
      <c r="F7" s="10" t="s">
        <v>12</v>
      </c>
      <c r="G7" s="10" t="s">
        <v>860</v>
      </c>
    </row>
    <row r="8" customFormat="false" ht="22.5" hidden="false" customHeight="true" outlineLevel="0" collapsed="false">
      <c r="A8" s="10" t="s">
        <v>92</v>
      </c>
      <c r="B8" s="10" t="s">
        <v>93</v>
      </c>
      <c r="C8" s="10" t="s">
        <v>94</v>
      </c>
      <c r="D8" s="10" t="s">
        <v>217</v>
      </c>
      <c r="E8" s="10" t="s">
        <v>11</v>
      </c>
      <c r="F8" s="10" t="s">
        <v>12</v>
      </c>
      <c r="G8" s="10" t="s">
        <v>860</v>
      </c>
    </row>
    <row r="9" customFormat="false" ht="22.5" hidden="false" customHeight="true" outlineLevel="0" collapsed="false">
      <c r="A9" s="10" t="s">
        <v>430</v>
      </c>
      <c r="B9" s="10" t="s">
        <v>431</v>
      </c>
      <c r="C9" s="10" t="s">
        <v>432</v>
      </c>
      <c r="D9" s="10" t="s">
        <v>433</v>
      </c>
      <c r="E9" s="10" t="s">
        <v>11</v>
      </c>
      <c r="F9" s="10" t="s">
        <v>12</v>
      </c>
      <c r="G9" s="10" t="s">
        <v>860</v>
      </c>
    </row>
    <row r="10" customFormat="false" ht="22.5" hidden="false" customHeight="true" outlineLevel="0" collapsed="false">
      <c r="A10" s="11" t="s">
        <v>117</v>
      </c>
      <c r="B10" s="11" t="s">
        <v>434</v>
      </c>
      <c r="C10" s="11" t="s">
        <v>435</v>
      </c>
      <c r="D10" s="11" t="s">
        <v>39</v>
      </c>
      <c r="E10" s="11" t="s">
        <v>11</v>
      </c>
      <c r="F10" s="11"/>
      <c r="G10" s="11"/>
    </row>
    <row r="11" customFormat="false" ht="22.5" hidden="false" customHeight="true" outlineLevel="0" collapsed="false">
      <c r="A11" s="10" t="s">
        <v>436</v>
      </c>
      <c r="B11" s="10" t="s">
        <v>437</v>
      </c>
      <c r="C11" s="10" t="s">
        <v>438</v>
      </c>
      <c r="D11" s="10" t="s">
        <v>439</v>
      </c>
      <c r="E11" s="10" t="s">
        <v>11</v>
      </c>
      <c r="F11" s="10" t="s">
        <v>12</v>
      </c>
      <c r="G11" s="10" t="s">
        <v>860</v>
      </c>
    </row>
    <row r="12" customFormat="false" ht="22.5" hidden="false" customHeight="true" outlineLevel="0" collapsed="false">
      <c r="A12" s="11"/>
      <c r="B12" s="11"/>
      <c r="C12" s="11"/>
      <c r="D12" s="11"/>
      <c r="E12" s="11"/>
      <c r="F12" s="11"/>
      <c r="G12" s="11"/>
    </row>
    <row r="13" customFormat="false" ht="22.5" hidden="false" customHeight="true" outlineLevel="0" collapsed="false">
      <c r="A13" s="11"/>
      <c r="B13" s="11"/>
      <c r="C13" s="11"/>
      <c r="D13" s="11"/>
      <c r="E13" s="11"/>
      <c r="F13" s="11"/>
      <c r="G13" s="11"/>
    </row>
    <row r="14" customFormat="false" ht="22.5" hidden="false" customHeight="true" outlineLevel="0" collapsed="false">
      <c r="A14" s="11"/>
      <c r="B14" s="11"/>
      <c r="C14" s="11"/>
      <c r="D14" s="11"/>
      <c r="E14" s="11"/>
      <c r="F14" s="11"/>
      <c r="G14" s="11"/>
    </row>
    <row r="15" customFormat="false" ht="22.5" hidden="false" customHeight="true" outlineLevel="0" collapsed="false">
      <c r="A15" s="11"/>
      <c r="B15" s="11"/>
      <c r="C15" s="11"/>
      <c r="D15" s="11"/>
      <c r="E15" s="11"/>
      <c r="F15" s="11"/>
      <c r="G15" s="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6" min="1" style="1" width="22.63"/>
  </cols>
  <sheetData>
    <row r="1" customFormat="false" ht="22.5" hidden="false" customHeight="true" outlineLevel="0" collapsed="false">
      <c r="A1" s="2" t="s">
        <v>65</v>
      </c>
      <c r="B1" s="3" t="s">
        <v>1</v>
      </c>
      <c r="C1" s="3" t="s">
        <v>2</v>
      </c>
      <c r="D1" s="3" t="s">
        <v>3</v>
      </c>
      <c r="E1" s="3" t="s">
        <v>4</v>
      </c>
      <c r="F1" s="3" t="s">
        <v>5</v>
      </c>
      <c r="G1" s="4" t="s">
        <v>6</v>
      </c>
    </row>
    <row r="2" customFormat="false" ht="22.5" hidden="false" customHeight="true" outlineLevel="0" collapsed="false">
      <c r="A2" s="11"/>
      <c r="B2" s="11"/>
      <c r="C2" s="11"/>
      <c r="D2" s="11"/>
      <c r="E2" s="11"/>
      <c r="F2" s="11"/>
      <c r="G2" s="11"/>
    </row>
    <row r="3" customFormat="false" ht="22.5" hidden="false" customHeight="true" outlineLevel="0" collapsed="false">
      <c r="A3" s="11"/>
      <c r="B3" s="11"/>
      <c r="C3" s="11"/>
      <c r="D3" s="11"/>
      <c r="E3" s="11"/>
      <c r="F3" s="11"/>
      <c r="G3" s="11"/>
    </row>
    <row r="4" customFormat="false" ht="22.5" hidden="false" customHeight="true" outlineLevel="0" collapsed="false">
      <c r="A4" s="11"/>
      <c r="B4" s="11"/>
      <c r="C4" s="11"/>
      <c r="D4" s="11"/>
      <c r="E4" s="11"/>
      <c r="F4" s="11"/>
      <c r="G4" s="11"/>
    </row>
    <row r="5" customFormat="false" ht="22.5" hidden="false" customHeight="true" outlineLevel="0" collapsed="false">
      <c r="A5" s="11"/>
      <c r="B5" s="11"/>
      <c r="C5" s="11"/>
      <c r="D5" s="11"/>
      <c r="E5" s="11"/>
      <c r="F5" s="11"/>
      <c r="G5" s="11"/>
    </row>
    <row r="6" customFormat="false" ht="22.5" hidden="false" customHeight="true" outlineLevel="0" collapsed="false">
      <c r="A6" s="11"/>
      <c r="B6" s="11"/>
      <c r="C6" s="11"/>
      <c r="D6" s="11"/>
      <c r="E6" s="11"/>
      <c r="F6" s="11"/>
      <c r="G6" s="11"/>
    </row>
    <row r="7" customFormat="false" ht="22.5" hidden="false" customHeight="true" outlineLevel="0" collapsed="false">
      <c r="A7" s="11"/>
      <c r="B7" s="11"/>
      <c r="C7" s="11"/>
      <c r="D7" s="11"/>
      <c r="E7" s="11"/>
      <c r="F7" s="11"/>
      <c r="G7" s="11"/>
    </row>
    <row r="8" customFormat="false" ht="22.5" hidden="false" customHeight="true" outlineLevel="0" collapsed="false">
      <c r="A8" s="11"/>
      <c r="B8" s="11"/>
      <c r="C8" s="11"/>
      <c r="D8" s="11"/>
      <c r="E8" s="11"/>
      <c r="F8" s="11"/>
      <c r="G8" s="11"/>
    </row>
    <row r="9" customFormat="false" ht="22.5" hidden="false" customHeight="true" outlineLevel="0" collapsed="false">
      <c r="A9" s="11"/>
      <c r="B9" s="11"/>
      <c r="C9" s="11"/>
      <c r="D9" s="11"/>
      <c r="E9" s="11"/>
      <c r="F9" s="11"/>
      <c r="G9" s="11"/>
    </row>
    <row r="10" customFormat="false" ht="22.5" hidden="false" customHeight="true" outlineLevel="0" collapsed="false">
      <c r="A10" s="11"/>
      <c r="B10" s="11"/>
      <c r="C10" s="11"/>
      <c r="D10" s="11"/>
      <c r="E10" s="11"/>
      <c r="F10" s="11"/>
      <c r="G10" s="11"/>
    </row>
    <row r="11" customFormat="false" ht="22.5" hidden="false" customHeight="true" outlineLevel="0" collapsed="false">
      <c r="A11" s="11"/>
      <c r="B11" s="11"/>
      <c r="C11" s="11"/>
      <c r="D11" s="11"/>
      <c r="E11" s="11"/>
      <c r="F11" s="11"/>
      <c r="G11" s="11"/>
    </row>
    <row r="12" customFormat="false" ht="22.5" hidden="false" customHeight="true" outlineLevel="0" collapsed="false">
      <c r="A12" s="11"/>
      <c r="B12" s="11"/>
      <c r="C12" s="11"/>
      <c r="D12" s="11"/>
      <c r="E12" s="11"/>
      <c r="F12" s="11"/>
      <c r="G12" s="11"/>
    </row>
    <row r="13" customFormat="false" ht="22.5" hidden="false" customHeight="true" outlineLevel="0" collapsed="false">
      <c r="A13" s="11"/>
      <c r="B13" s="11"/>
      <c r="C13" s="11"/>
      <c r="D13" s="11"/>
      <c r="E13" s="11"/>
      <c r="F13" s="11"/>
      <c r="G13" s="11"/>
    </row>
    <row r="14" customFormat="false" ht="22.5" hidden="false" customHeight="true" outlineLevel="0" collapsed="false">
      <c r="A14" s="11"/>
      <c r="B14" s="11"/>
      <c r="C14" s="11"/>
      <c r="D14" s="11"/>
      <c r="E14" s="11"/>
      <c r="F14" s="11"/>
      <c r="G14" s="11"/>
    </row>
    <row r="15" customFormat="false" ht="22.5" hidden="false" customHeight="true" outlineLevel="0" collapsed="false">
      <c r="A15" s="11"/>
      <c r="B15" s="11"/>
      <c r="C15" s="11"/>
      <c r="D15" s="11"/>
      <c r="E15" s="11"/>
      <c r="F15" s="11"/>
      <c r="G15" s="11"/>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FF"/>
    <pageSetUpPr fitToPage="false"/>
  </sheetPr>
  <dimension ref="B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sheetData>
    <row r="1" customFormat="false" ht="15.75" hidden="false" customHeight="true" outlineLevel="0" collapsed="false"/>
    <row r="2" customFormat="false" ht="15.75" hidden="false" customHeight="true" outlineLevel="0" collapsed="false">
      <c r="B2" s="42" t="s">
        <v>861</v>
      </c>
      <c r="C2" s="42"/>
      <c r="D2" s="42"/>
      <c r="E2" s="42"/>
      <c r="F2" s="42"/>
    </row>
    <row r="3" customFormat="false" ht="15.75" hidden="false" customHeight="true" outlineLevel="0" collapsed="false">
      <c r="B3" s="42"/>
      <c r="C3" s="42"/>
      <c r="D3" s="42"/>
      <c r="E3" s="42"/>
      <c r="F3" s="42"/>
    </row>
    <row r="4" customFormat="false" ht="15.75" hidden="false" customHeight="true" outlineLevel="0" collapsed="false">
      <c r="B4" s="42"/>
      <c r="C4" s="42"/>
      <c r="D4" s="42"/>
      <c r="E4" s="42"/>
      <c r="F4" s="42"/>
    </row>
    <row r="5" customFormat="false" ht="15.75" hidden="false" customHeight="true" outlineLevel="0" collapsed="false">
      <c r="B5" s="42"/>
      <c r="C5" s="42"/>
      <c r="D5" s="42"/>
      <c r="E5" s="42"/>
      <c r="F5" s="42"/>
    </row>
    <row r="6" customFormat="false" ht="15.75" hidden="false" customHeight="true" outlineLevel="0" collapsed="false">
      <c r="B6" s="42"/>
      <c r="C6" s="42"/>
      <c r="D6" s="42"/>
      <c r="E6" s="42"/>
      <c r="F6" s="42"/>
      <c r="I6" s="42" t="s">
        <v>862</v>
      </c>
      <c r="J6" s="42"/>
      <c r="K6" s="42"/>
    </row>
    <row r="7" customFormat="false" ht="15.75" hidden="false" customHeight="true" outlineLevel="0" collapsed="false">
      <c r="B7" s="42"/>
      <c r="C7" s="42"/>
      <c r="D7" s="42"/>
      <c r="E7" s="42"/>
      <c r="F7" s="42"/>
      <c r="I7" s="42"/>
      <c r="J7" s="42"/>
      <c r="K7" s="42"/>
    </row>
    <row r="8" customFormat="false" ht="15.75" hidden="false" customHeight="true" outlineLevel="0" collapsed="false">
      <c r="B8" s="42"/>
      <c r="C8" s="42"/>
      <c r="D8" s="42"/>
      <c r="E8" s="42"/>
      <c r="F8" s="42"/>
      <c r="I8" s="42"/>
      <c r="J8" s="42"/>
      <c r="K8" s="42"/>
    </row>
    <row r="9" customFormat="false" ht="15.75" hidden="false" customHeight="true" outlineLevel="0" collapsed="false">
      <c r="B9" s="42"/>
      <c r="C9" s="42"/>
      <c r="D9" s="42"/>
      <c r="E9" s="42"/>
      <c r="F9" s="42"/>
      <c r="I9" s="42"/>
      <c r="J9" s="42"/>
      <c r="K9" s="42"/>
    </row>
    <row r="10" customFormat="false" ht="15.75" hidden="false" customHeight="true" outlineLevel="0" collapsed="false">
      <c r="B10" s="42"/>
      <c r="C10" s="42"/>
      <c r="D10" s="42"/>
      <c r="E10" s="42"/>
      <c r="F10" s="42"/>
    </row>
    <row r="11" customFormat="false" ht="15.75" hidden="false" customHeight="true" outlineLevel="0" collapsed="false">
      <c r="B11" s="42"/>
      <c r="C11" s="42"/>
      <c r="D11" s="42"/>
      <c r="E11" s="42"/>
      <c r="F11" s="42"/>
    </row>
    <row r="12" customFormat="false" ht="15.75" hidden="false" customHeight="true" outlineLevel="0" collapsed="false">
      <c r="B12" s="42"/>
      <c r="C12" s="42"/>
      <c r="D12" s="42"/>
      <c r="E12" s="42"/>
      <c r="F12" s="42"/>
    </row>
    <row r="13" customFormat="false" ht="15.75" hidden="false" customHeight="true" outlineLevel="0" collapsed="false">
      <c r="B13" s="42"/>
      <c r="C13" s="42"/>
      <c r="D13" s="42"/>
      <c r="E13" s="42"/>
      <c r="F13" s="42"/>
    </row>
    <row r="14" customFormat="false" ht="15.75" hidden="false" customHeight="true" outlineLevel="0" collapsed="false">
      <c r="B14" s="42"/>
      <c r="C14" s="42"/>
      <c r="D14" s="42"/>
      <c r="E14" s="42"/>
      <c r="F14" s="42"/>
    </row>
    <row r="15" customFormat="false" ht="15.75" hidden="false" customHeight="true" outlineLevel="0" collapsed="false">
      <c r="B15" s="42"/>
      <c r="C15" s="42"/>
      <c r="D15" s="42"/>
      <c r="E15" s="42"/>
      <c r="F15" s="42"/>
    </row>
    <row r="16" customFormat="false" ht="15.75" hidden="false" customHeight="true" outlineLevel="0" collapsed="false">
      <c r="B16" s="42"/>
      <c r="C16" s="42"/>
      <c r="D16" s="42"/>
      <c r="E16" s="42"/>
      <c r="F16" s="42"/>
    </row>
    <row r="17" customFormat="false" ht="15.75" hidden="false" customHeight="true" outlineLevel="0" collapsed="false">
      <c r="B17" s="42"/>
      <c r="C17" s="42"/>
      <c r="D17" s="42"/>
      <c r="E17" s="42"/>
      <c r="F17" s="42"/>
    </row>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2:F17"/>
    <mergeCell ref="I6:K9"/>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D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4" min="1" style="1" width="22.63"/>
  </cols>
  <sheetData>
    <row r="1" customFormat="false" ht="22.5" hidden="false" customHeight="true" outlineLevel="0" collapsed="false">
      <c r="A1" s="43" t="s">
        <v>65</v>
      </c>
      <c r="B1" s="43" t="s">
        <v>863</v>
      </c>
      <c r="C1" s="43" t="s">
        <v>864</v>
      </c>
      <c r="D1" s="43" t="s">
        <v>865</v>
      </c>
    </row>
    <row r="2" customFormat="false" ht="22.5" hidden="false" customHeight="true" outlineLevel="0" collapsed="false">
      <c r="A2" s="11" t="s">
        <v>30</v>
      </c>
      <c r="B2" s="11" t="s">
        <v>866</v>
      </c>
      <c r="C2" s="11" t="n">
        <v>2026</v>
      </c>
      <c r="D2" s="38" t="s">
        <v>867</v>
      </c>
    </row>
    <row r="3" customFormat="false" ht="22.5" hidden="false" customHeight="true" outlineLevel="0" collapsed="false">
      <c r="A3" s="11" t="s">
        <v>353</v>
      </c>
      <c r="B3" s="11" t="s">
        <v>866</v>
      </c>
      <c r="C3" s="11" t="n">
        <v>2026</v>
      </c>
      <c r="D3" s="38" t="s">
        <v>867</v>
      </c>
    </row>
    <row r="4" customFormat="false" ht="22.5" hidden="false" customHeight="true" outlineLevel="0" collapsed="false">
      <c r="A4" s="11" t="s">
        <v>749</v>
      </c>
      <c r="B4" s="11" t="s">
        <v>866</v>
      </c>
      <c r="C4" s="11" t="n">
        <v>2026</v>
      </c>
      <c r="D4" s="38" t="s">
        <v>867</v>
      </c>
    </row>
    <row r="5" customFormat="false" ht="22.5" hidden="false" customHeight="true" outlineLevel="0" collapsed="false">
      <c r="A5" s="11" t="s">
        <v>753</v>
      </c>
      <c r="B5" s="11" t="s">
        <v>866</v>
      </c>
      <c r="C5" s="11" t="n">
        <v>2026</v>
      </c>
      <c r="D5" s="38" t="s">
        <v>867</v>
      </c>
    </row>
    <row r="6" customFormat="false" ht="22.5" hidden="false" customHeight="true" outlineLevel="0" collapsed="false">
      <c r="A6" s="11" t="s">
        <v>759</v>
      </c>
      <c r="B6" s="11" t="s">
        <v>866</v>
      </c>
      <c r="C6" s="11" t="n">
        <v>2026</v>
      </c>
      <c r="D6" s="38" t="s">
        <v>867</v>
      </c>
    </row>
    <row r="7" customFormat="false" ht="22.5" hidden="false" customHeight="true" outlineLevel="0" collapsed="false">
      <c r="A7" s="11" t="s">
        <v>286</v>
      </c>
      <c r="B7" s="11" t="s">
        <v>866</v>
      </c>
      <c r="C7" s="11" t="n">
        <v>2026</v>
      </c>
      <c r="D7" s="38" t="s">
        <v>867</v>
      </c>
    </row>
    <row r="8" customFormat="false" ht="22.5" hidden="false" customHeight="true" outlineLevel="0" collapsed="false">
      <c r="A8" s="11" t="s">
        <v>785</v>
      </c>
      <c r="B8" s="11" t="s">
        <v>866</v>
      </c>
      <c r="C8" s="11" t="n">
        <v>2026</v>
      </c>
      <c r="D8" s="38" t="s">
        <v>867</v>
      </c>
    </row>
    <row r="9" customFormat="false" ht="22.5" hidden="false" customHeight="true" outlineLevel="0" collapsed="false">
      <c r="A9" s="11" t="s">
        <v>789</v>
      </c>
      <c r="B9" s="11" t="s">
        <v>866</v>
      </c>
      <c r="C9" s="11" t="n">
        <v>2026</v>
      </c>
      <c r="D9" s="38" t="s">
        <v>867</v>
      </c>
    </row>
    <row r="10" customFormat="false" ht="22.5" hidden="false" customHeight="true" outlineLevel="0" collapsed="false">
      <c r="A10" s="11" t="s">
        <v>295</v>
      </c>
      <c r="B10" s="11" t="s">
        <v>866</v>
      </c>
      <c r="C10" s="11" t="n">
        <v>2026</v>
      </c>
      <c r="D10" s="38" t="s">
        <v>867</v>
      </c>
    </row>
    <row r="11" customFormat="false" ht="22.5" hidden="false" customHeight="true" outlineLevel="0" collapsed="false">
      <c r="A11" s="11" t="s">
        <v>795</v>
      </c>
      <c r="B11" s="11" t="s">
        <v>866</v>
      </c>
      <c r="C11" s="11" t="n">
        <v>2026</v>
      </c>
      <c r="D11" s="38" t="s">
        <v>867</v>
      </c>
    </row>
    <row r="12" customFormat="false" ht="22.5" hidden="false" customHeight="true" outlineLevel="0" collapsed="false">
      <c r="A12" s="11" t="s">
        <v>798</v>
      </c>
      <c r="B12" s="11" t="s">
        <v>866</v>
      </c>
      <c r="C12" s="11" t="n">
        <v>2026</v>
      </c>
      <c r="D12" s="38" t="s">
        <v>867</v>
      </c>
    </row>
    <row r="13" customFormat="false" ht="22.5" hidden="false" customHeight="true" outlineLevel="0" collapsed="false">
      <c r="A13" s="11" t="s">
        <v>804</v>
      </c>
      <c r="B13" s="11" t="s">
        <v>866</v>
      </c>
      <c r="C13" s="11" t="n">
        <v>2026</v>
      </c>
      <c r="D13" s="38" t="s">
        <v>867</v>
      </c>
    </row>
    <row r="14" customFormat="false" ht="22.5" hidden="false" customHeight="true" outlineLevel="0" collapsed="false">
      <c r="A14" s="11" t="s">
        <v>291</v>
      </c>
      <c r="B14" s="11" t="s">
        <v>866</v>
      </c>
      <c r="C14" s="11" t="n">
        <v>2026</v>
      </c>
      <c r="D14" s="38" t="s">
        <v>867</v>
      </c>
    </row>
    <row r="15" customFormat="false" ht="22.5" hidden="false" customHeight="true" outlineLevel="0" collapsed="false">
      <c r="A15" s="11" t="s">
        <v>436</v>
      </c>
      <c r="B15" s="11" t="s">
        <v>866</v>
      </c>
      <c r="C15" s="11" t="n">
        <v>2026</v>
      </c>
      <c r="D15" s="38" t="s">
        <v>867</v>
      </c>
    </row>
    <row r="16" customFormat="false" ht="22.5" hidden="false" customHeight="true" outlineLevel="0" collapsed="false">
      <c r="A16" s="11" t="s">
        <v>59</v>
      </c>
      <c r="B16" s="11" t="s">
        <v>866</v>
      </c>
      <c r="C16" s="11" t="n">
        <v>2026</v>
      </c>
      <c r="D16" s="38" t="s">
        <v>867</v>
      </c>
    </row>
    <row r="17" customFormat="false" ht="22.5" hidden="false" customHeight="true" outlineLevel="0" collapsed="false">
      <c r="A17" s="11" t="s">
        <v>625</v>
      </c>
      <c r="B17" s="11" t="s">
        <v>866</v>
      </c>
      <c r="C17" s="11" t="n">
        <v>2026</v>
      </c>
      <c r="D17" s="38" t="s">
        <v>867</v>
      </c>
    </row>
    <row r="18" customFormat="false" ht="22.5" hidden="false" customHeight="true" outlineLevel="0" collapsed="false">
      <c r="A18" s="11" t="s">
        <v>821</v>
      </c>
      <c r="B18" s="11" t="s">
        <v>866</v>
      </c>
      <c r="C18" s="11" t="n">
        <v>2026</v>
      </c>
      <c r="D18" s="38" t="s">
        <v>867</v>
      </c>
    </row>
    <row r="19" customFormat="false" ht="22.5" hidden="false" customHeight="true" outlineLevel="0" collapsed="false">
      <c r="A19" s="11" t="s">
        <v>331</v>
      </c>
      <c r="B19" s="11" t="s">
        <v>866</v>
      </c>
      <c r="C19" s="11" t="n">
        <v>2026</v>
      </c>
      <c r="D19" s="38" t="s">
        <v>867</v>
      </c>
    </row>
    <row r="20" customFormat="false" ht="22.5" hidden="false" customHeight="true" outlineLevel="0" collapsed="false">
      <c r="A20" s="11" t="s">
        <v>317</v>
      </c>
      <c r="B20" s="11" t="s">
        <v>866</v>
      </c>
      <c r="C20" s="11" t="n">
        <v>2026</v>
      </c>
      <c r="D20" s="38" t="s">
        <v>867</v>
      </c>
    </row>
    <row r="21" customFormat="false" ht="22.5" hidden="false" customHeight="true" outlineLevel="0" collapsed="false">
      <c r="A21" s="11" t="s">
        <v>827</v>
      </c>
      <c r="B21" s="11" t="s">
        <v>866</v>
      </c>
      <c r="C21" s="11" t="n">
        <v>2026</v>
      </c>
      <c r="D21" s="38" t="s">
        <v>867</v>
      </c>
    </row>
    <row r="22" customFormat="false" ht="22.5" hidden="false" customHeight="true" outlineLevel="0" collapsed="false">
      <c r="A22" s="11" t="s">
        <v>320</v>
      </c>
      <c r="B22" s="11" t="s">
        <v>866</v>
      </c>
      <c r="C22" s="11" t="n">
        <v>2026</v>
      </c>
      <c r="D22" s="38" t="s">
        <v>867</v>
      </c>
    </row>
    <row r="23" customFormat="false" ht="22.5" hidden="false" customHeight="true" outlineLevel="0" collapsed="false">
      <c r="A23" s="11" t="s">
        <v>314</v>
      </c>
      <c r="B23" s="11" t="s">
        <v>866</v>
      </c>
      <c r="C23" s="11" t="n">
        <v>2026</v>
      </c>
      <c r="D23" s="38" t="s">
        <v>867</v>
      </c>
    </row>
    <row r="24" customFormat="false" ht="22.5" hidden="false" customHeight="true" outlineLevel="0" collapsed="false">
      <c r="A24" s="11" t="s">
        <v>839</v>
      </c>
      <c r="B24" s="11" t="s">
        <v>866</v>
      </c>
      <c r="C24" s="11" t="n">
        <v>2026</v>
      </c>
      <c r="D24" s="38" t="s">
        <v>867</v>
      </c>
    </row>
    <row r="25" customFormat="false" ht="22.5" hidden="false" customHeight="true" outlineLevel="0" collapsed="false">
      <c r="A25" s="11" t="s">
        <v>335</v>
      </c>
      <c r="B25" s="11" t="s">
        <v>866</v>
      </c>
      <c r="C25" s="11" t="n">
        <v>2026</v>
      </c>
      <c r="D25" s="38" t="s">
        <v>867</v>
      </c>
    </row>
    <row r="26" customFormat="false" ht="22.5" hidden="false" customHeight="true" outlineLevel="0" collapsed="false">
      <c r="A26" s="11" t="s">
        <v>79</v>
      </c>
      <c r="B26" s="11" t="s">
        <v>868</v>
      </c>
      <c r="C26" s="11" t="n">
        <v>2026</v>
      </c>
      <c r="D26" s="38" t="s">
        <v>867</v>
      </c>
    </row>
    <row r="27" customFormat="false" ht="22.5" hidden="false" customHeight="true" outlineLevel="0" collapsed="false">
      <c r="A27" s="11" t="s">
        <v>92</v>
      </c>
      <c r="B27" s="11" t="s">
        <v>868</v>
      </c>
      <c r="C27" s="11" t="n">
        <v>2026</v>
      </c>
      <c r="D27" s="38" t="s">
        <v>867</v>
      </c>
    </row>
    <row r="28" customFormat="false" ht="22.5" hidden="false" customHeight="true" outlineLevel="0" collapsed="false">
      <c r="A28" s="11" t="s">
        <v>96</v>
      </c>
      <c r="B28" s="11" t="s">
        <v>868</v>
      </c>
      <c r="C28" s="11" t="n">
        <v>2026</v>
      </c>
      <c r="D28" s="38" t="s">
        <v>867</v>
      </c>
    </row>
    <row r="29" customFormat="false" ht="22.5" hidden="false" customHeight="true" outlineLevel="0" collapsed="false">
      <c r="A29" s="11" t="s">
        <v>99</v>
      </c>
      <c r="B29" s="11" t="s">
        <v>868</v>
      </c>
      <c r="C29" s="11" t="n">
        <v>2026</v>
      </c>
      <c r="D29" s="38" t="s">
        <v>867</v>
      </c>
    </row>
    <row r="30" customFormat="false" ht="22.5" hidden="false" customHeight="true" outlineLevel="0" collapsed="false">
      <c r="A30" s="11" t="s">
        <v>103</v>
      </c>
      <c r="B30" s="11" t="s">
        <v>868</v>
      </c>
      <c r="C30" s="11" t="n">
        <v>2026</v>
      </c>
      <c r="D30" s="38" t="s">
        <v>867</v>
      </c>
    </row>
    <row r="31" customFormat="false" ht="22.5" hidden="false" customHeight="true" outlineLevel="0" collapsed="false">
      <c r="A31" s="11" t="s">
        <v>107</v>
      </c>
      <c r="B31" s="11" t="s">
        <v>868</v>
      </c>
      <c r="C31" s="11" t="n">
        <v>2026</v>
      </c>
      <c r="D31" s="38" t="s">
        <v>867</v>
      </c>
    </row>
    <row r="32" customFormat="false" ht="22.5" hidden="false" customHeight="true" outlineLevel="0" collapsed="false">
      <c r="A32" s="11" t="s">
        <v>111</v>
      </c>
      <c r="B32" s="11" t="s">
        <v>868</v>
      </c>
      <c r="C32" s="11" t="n">
        <v>2026</v>
      </c>
      <c r="D32" s="38" t="s">
        <v>867</v>
      </c>
    </row>
    <row r="33" customFormat="false" ht="22.5" hidden="false" customHeight="true" outlineLevel="0" collapsed="false">
      <c r="A33" s="11" t="s">
        <v>124</v>
      </c>
      <c r="B33" s="11" t="s">
        <v>868</v>
      </c>
      <c r="C33" s="11" t="n">
        <v>2026</v>
      </c>
      <c r="D33" s="38" t="s">
        <v>867</v>
      </c>
    </row>
    <row r="34" customFormat="false" ht="22.5" hidden="false" customHeight="true" outlineLevel="0" collapsed="false">
      <c r="A34" s="11" t="s">
        <v>128</v>
      </c>
      <c r="B34" s="11" t="s">
        <v>868</v>
      </c>
      <c r="C34" s="11" t="n">
        <v>2026</v>
      </c>
      <c r="D34" s="38" t="s">
        <v>867</v>
      </c>
    </row>
    <row r="35" customFormat="false" ht="22.5" hidden="false" customHeight="true" outlineLevel="0" collapsed="false">
      <c r="A35" s="11" t="s">
        <v>133</v>
      </c>
      <c r="B35" s="11" t="s">
        <v>868</v>
      </c>
      <c r="C35" s="11" t="n">
        <v>2026</v>
      </c>
      <c r="D35" s="38" t="s">
        <v>867</v>
      </c>
    </row>
    <row r="36" customFormat="false" ht="22.5" hidden="false" customHeight="true" outlineLevel="0" collapsed="false">
      <c r="A36" s="11" t="s">
        <v>137</v>
      </c>
      <c r="B36" s="11" t="s">
        <v>868</v>
      </c>
      <c r="C36" s="11" t="n">
        <v>2026</v>
      </c>
      <c r="D36" s="38" t="s">
        <v>867</v>
      </c>
    </row>
    <row r="37" customFormat="false" ht="22.5" hidden="false" customHeight="true" outlineLevel="0" collapsed="false">
      <c r="A37" s="11" t="s">
        <v>141</v>
      </c>
      <c r="B37" s="11" t="s">
        <v>868</v>
      </c>
      <c r="C37" s="11" t="n">
        <v>2026</v>
      </c>
      <c r="D37" s="38" t="s">
        <v>867</v>
      </c>
    </row>
    <row r="38" customFormat="false" ht="22.5" hidden="false" customHeight="true" outlineLevel="0" collapsed="false">
      <c r="A38" s="11" t="s">
        <v>149</v>
      </c>
      <c r="B38" s="11" t="s">
        <v>868</v>
      </c>
      <c r="C38" s="11" t="n">
        <v>2026</v>
      </c>
      <c r="D38" s="38" t="s">
        <v>867</v>
      </c>
    </row>
    <row r="39" customFormat="false" ht="22.5" hidden="false" customHeight="true" outlineLevel="0" collapsed="false">
      <c r="A39" s="11" t="s">
        <v>153</v>
      </c>
      <c r="B39" s="11" t="s">
        <v>868</v>
      </c>
      <c r="C39" s="11" t="n">
        <v>2026</v>
      </c>
      <c r="D39" s="38" t="s">
        <v>867</v>
      </c>
    </row>
    <row r="40" customFormat="false" ht="22.5" hidden="false" customHeight="true" outlineLevel="0" collapsed="false">
      <c r="A40" s="11" t="s">
        <v>157</v>
      </c>
      <c r="B40" s="11" t="s">
        <v>868</v>
      </c>
      <c r="C40" s="11" t="n">
        <v>2026</v>
      </c>
      <c r="D40" s="38" t="s">
        <v>867</v>
      </c>
    </row>
    <row r="41" customFormat="false" ht="22.5" hidden="false" customHeight="true" outlineLevel="0" collapsed="false">
      <c r="A41" s="11" t="s">
        <v>161</v>
      </c>
      <c r="B41" s="11" t="s">
        <v>868</v>
      </c>
      <c r="C41" s="11" t="n">
        <v>2026</v>
      </c>
      <c r="D41" s="38" t="s">
        <v>867</v>
      </c>
    </row>
    <row r="42" customFormat="false" ht="22.5" hidden="false" customHeight="true" outlineLevel="0" collapsed="false">
      <c r="A42" s="11" t="s">
        <v>166</v>
      </c>
      <c r="B42" s="11" t="s">
        <v>868</v>
      </c>
      <c r="C42" s="11" t="n">
        <v>2026</v>
      </c>
      <c r="D42" s="38" t="s">
        <v>867</v>
      </c>
    </row>
    <row r="43" customFormat="false" ht="22.5" hidden="false" customHeight="true" outlineLevel="0" collapsed="false">
      <c r="A43" s="11" t="s">
        <v>170</v>
      </c>
      <c r="B43" s="11" t="s">
        <v>868</v>
      </c>
      <c r="C43" s="11" t="n">
        <v>2026</v>
      </c>
      <c r="D43" s="38" t="s">
        <v>867</v>
      </c>
    </row>
    <row r="44" customFormat="false" ht="22.5" hidden="false" customHeight="true" outlineLevel="0" collapsed="false">
      <c r="A44" s="11" t="s">
        <v>180</v>
      </c>
      <c r="B44" s="11" t="s">
        <v>868</v>
      </c>
      <c r="C44" s="11" t="n">
        <v>2026</v>
      </c>
      <c r="D44" s="38" t="s">
        <v>867</v>
      </c>
    </row>
    <row r="45" customFormat="false" ht="22.5" hidden="false" customHeight="true" outlineLevel="0" collapsed="false">
      <c r="A45" s="11" t="s">
        <v>185</v>
      </c>
      <c r="B45" s="11" t="s">
        <v>868</v>
      </c>
      <c r="C45" s="11" t="n">
        <v>2026</v>
      </c>
      <c r="D45" s="38" t="s">
        <v>867</v>
      </c>
    </row>
    <row r="46" customFormat="false" ht="22.5" hidden="false" customHeight="true" outlineLevel="0" collapsed="false">
      <c r="A46" s="11" t="s">
        <v>190</v>
      </c>
      <c r="B46" s="11" t="s">
        <v>868</v>
      </c>
      <c r="C46" s="11" t="n">
        <v>2026</v>
      </c>
      <c r="D46" s="38" t="s">
        <v>867</v>
      </c>
    </row>
    <row r="47" customFormat="false" ht="22.5" hidden="false" customHeight="true" outlineLevel="0" collapsed="false">
      <c r="A47" s="11" t="s">
        <v>194</v>
      </c>
      <c r="B47" s="11" t="s">
        <v>868</v>
      </c>
      <c r="C47" s="11" t="n">
        <v>2026</v>
      </c>
      <c r="D47" s="38" t="s">
        <v>867</v>
      </c>
    </row>
    <row r="48" customFormat="false" ht="22.5" hidden="false" customHeight="true" outlineLevel="0" collapsed="false">
      <c r="A48" s="11" t="s">
        <v>198</v>
      </c>
      <c r="B48" s="11" t="s">
        <v>868</v>
      </c>
      <c r="C48" s="11" t="n">
        <v>2026</v>
      </c>
      <c r="D48" s="38" t="s">
        <v>867</v>
      </c>
    </row>
    <row r="49" customFormat="false" ht="22.5" hidden="false" customHeight="true" outlineLevel="0" collapsed="false">
      <c r="A49" s="11" t="s">
        <v>202</v>
      </c>
      <c r="B49" s="11" t="s">
        <v>868</v>
      </c>
      <c r="C49" s="11" t="n">
        <v>2026</v>
      </c>
      <c r="D49" s="38" t="s">
        <v>867</v>
      </c>
    </row>
    <row r="50" customFormat="false" ht="22.5" hidden="false" customHeight="true" outlineLevel="0" collapsed="false">
      <c r="A50" s="11" t="s">
        <v>206</v>
      </c>
      <c r="B50" s="11" t="s">
        <v>868</v>
      </c>
      <c r="C50" s="11" t="n">
        <v>2026</v>
      </c>
      <c r="D50" s="38" t="s">
        <v>867</v>
      </c>
    </row>
    <row r="51" customFormat="false" ht="22.5" hidden="false" customHeight="true" outlineLevel="0" collapsed="false">
      <c r="A51" s="11" t="s">
        <v>66</v>
      </c>
      <c r="B51" s="11" t="s">
        <v>869</v>
      </c>
      <c r="C51" s="11" t="n">
        <v>2026</v>
      </c>
      <c r="D51" s="38" t="s">
        <v>867</v>
      </c>
    </row>
    <row r="52" customFormat="false" ht="22.5" hidden="false" customHeight="true" outlineLevel="0" collapsed="false">
      <c r="A52" s="11" t="s">
        <v>70</v>
      </c>
      <c r="B52" s="11" t="s">
        <v>869</v>
      </c>
      <c r="C52" s="11" t="n">
        <v>2026</v>
      </c>
      <c r="D52" s="38" t="s">
        <v>867</v>
      </c>
    </row>
    <row r="53" customFormat="false" ht="22.5" hidden="false" customHeight="true" outlineLevel="0" collapsed="false">
      <c r="A53" s="11" t="s">
        <v>75</v>
      </c>
      <c r="B53" s="11" t="s">
        <v>869</v>
      </c>
      <c r="C53" s="11" t="n">
        <v>2026</v>
      </c>
      <c r="D53" s="38" t="s">
        <v>867</v>
      </c>
    </row>
    <row r="54" customFormat="false" ht="22.5" hidden="false" customHeight="true" outlineLevel="0" collapsed="false">
      <c r="A54" s="11" t="s">
        <v>87</v>
      </c>
      <c r="B54" s="11" t="s">
        <v>869</v>
      </c>
      <c r="C54" s="11" t="n">
        <v>2026</v>
      </c>
      <c r="D54" s="38" t="s">
        <v>867</v>
      </c>
    </row>
    <row r="55" customFormat="false" ht="22.5" hidden="false" customHeight="true" outlineLevel="0" collapsed="false">
      <c r="A55" s="11" t="s">
        <v>88</v>
      </c>
      <c r="B55" s="11" t="s">
        <v>869</v>
      </c>
      <c r="C55" s="11" t="n">
        <v>2026</v>
      </c>
      <c r="D55" s="38" t="s">
        <v>867</v>
      </c>
    </row>
    <row r="56" customFormat="false" ht="22.5" hidden="false" customHeight="true" outlineLevel="0" collapsed="false">
      <c r="A56" s="11" t="s">
        <v>223</v>
      </c>
      <c r="B56" s="11" t="s">
        <v>869</v>
      </c>
      <c r="C56" s="11" t="n">
        <v>2026</v>
      </c>
      <c r="D56" s="38" t="s">
        <v>867</v>
      </c>
    </row>
    <row r="57" customFormat="false" ht="22.5" hidden="false" customHeight="true" outlineLevel="0" collapsed="false">
      <c r="A57" s="11" t="s">
        <v>224</v>
      </c>
      <c r="B57" s="11" t="s">
        <v>869</v>
      </c>
      <c r="C57" s="11" t="n">
        <v>2026</v>
      </c>
      <c r="D57" s="38" t="s">
        <v>867</v>
      </c>
    </row>
    <row r="58" customFormat="false" ht="22.5" hidden="false" customHeight="true" outlineLevel="0" collapsed="false">
      <c r="A58" s="11" t="s">
        <v>233</v>
      </c>
      <c r="B58" s="11" t="s">
        <v>869</v>
      </c>
      <c r="C58" s="11" t="n">
        <v>2026</v>
      </c>
      <c r="D58" s="38" t="s">
        <v>867</v>
      </c>
    </row>
    <row r="59" customFormat="false" ht="22.5" hidden="false" customHeight="true" outlineLevel="0" collapsed="false">
      <c r="A59" s="11" t="s">
        <v>237</v>
      </c>
      <c r="B59" s="11" t="s">
        <v>869</v>
      </c>
      <c r="C59" s="11" t="n">
        <v>2026</v>
      </c>
      <c r="D59" s="38" t="s">
        <v>867</v>
      </c>
    </row>
    <row r="60" customFormat="false" ht="22.5" hidden="false" customHeight="true" outlineLevel="0" collapsed="false">
      <c r="A60" s="11" t="s">
        <v>241</v>
      </c>
      <c r="B60" s="11" t="s">
        <v>869</v>
      </c>
      <c r="C60" s="11" t="n">
        <v>2026</v>
      </c>
      <c r="D60" s="38" t="s">
        <v>867</v>
      </c>
    </row>
    <row r="61" customFormat="false" ht="22.5" hidden="false" customHeight="true" outlineLevel="0" collapsed="false">
      <c r="A61" s="11" t="s">
        <v>245</v>
      </c>
      <c r="B61" s="11" t="s">
        <v>869</v>
      </c>
      <c r="C61" s="11" t="n">
        <v>2026</v>
      </c>
      <c r="D61" s="38" t="s">
        <v>867</v>
      </c>
    </row>
    <row r="62" customFormat="false" ht="22.5" hidden="false" customHeight="true" outlineLevel="0" collapsed="false">
      <c r="A62" s="11" t="s">
        <v>249</v>
      </c>
      <c r="B62" s="11" t="s">
        <v>869</v>
      </c>
      <c r="C62" s="11" t="n">
        <v>2026</v>
      </c>
      <c r="D62" s="38" t="s">
        <v>867</v>
      </c>
    </row>
    <row r="63" customFormat="false" ht="22.5" hidden="false" customHeight="true" outlineLevel="0" collapsed="false">
      <c r="A63" s="11" t="s">
        <v>252</v>
      </c>
      <c r="B63" s="11" t="s">
        <v>869</v>
      </c>
      <c r="C63" s="11" t="n">
        <v>2026</v>
      </c>
      <c r="D63" s="38" t="s">
        <v>867</v>
      </c>
    </row>
    <row r="64" customFormat="false" ht="22.5" hidden="false" customHeight="true" outlineLevel="0" collapsed="false">
      <c r="A64" s="11" t="s">
        <v>256</v>
      </c>
      <c r="B64" s="11" t="s">
        <v>869</v>
      </c>
      <c r="C64" s="11" t="n">
        <v>2026</v>
      </c>
      <c r="D64" s="38" t="s">
        <v>867</v>
      </c>
    </row>
    <row r="65" customFormat="false" ht="22.5" hidden="false" customHeight="true" outlineLevel="0" collapsed="false">
      <c r="A65" s="11" t="s">
        <v>260</v>
      </c>
      <c r="B65" s="11" t="s">
        <v>869</v>
      </c>
      <c r="C65" s="11" t="n">
        <v>2026</v>
      </c>
      <c r="D65" s="38" t="s">
        <v>867</v>
      </c>
    </row>
    <row r="66" customFormat="false" ht="22.5" hidden="false" customHeight="true" outlineLevel="0" collapsed="false">
      <c r="A66" s="11" t="s">
        <v>264</v>
      </c>
      <c r="B66" s="11" t="s">
        <v>869</v>
      </c>
      <c r="C66" s="11" t="n">
        <v>2026</v>
      </c>
      <c r="D66" s="38" t="s">
        <v>867</v>
      </c>
    </row>
    <row r="67" customFormat="false" ht="22.5" hidden="false" customHeight="true" outlineLevel="0" collapsed="false">
      <c r="A67" s="11" t="s">
        <v>267</v>
      </c>
      <c r="B67" s="11" t="s">
        <v>869</v>
      </c>
      <c r="C67" s="11" t="n">
        <v>2026</v>
      </c>
      <c r="D67" s="38" t="s">
        <v>867</v>
      </c>
    </row>
    <row r="68" customFormat="false" ht="22.5" hidden="false" customHeight="true" outlineLevel="0" collapsed="false">
      <c r="A68" s="11" t="s">
        <v>270</v>
      </c>
      <c r="B68" s="11" t="s">
        <v>869</v>
      </c>
      <c r="C68" s="11" t="n">
        <v>2026</v>
      </c>
      <c r="D68" s="38" t="s">
        <v>867</v>
      </c>
    </row>
    <row r="69" customFormat="false" ht="22.5" hidden="false" customHeight="true" outlineLevel="0" collapsed="false">
      <c r="A69" s="11" t="s">
        <v>274</v>
      </c>
      <c r="B69" s="11" t="s">
        <v>869</v>
      </c>
      <c r="C69" s="11" t="n">
        <v>2026</v>
      </c>
      <c r="D69" s="38" t="s">
        <v>867</v>
      </c>
    </row>
    <row r="70" customFormat="false" ht="22.5" hidden="false" customHeight="true" outlineLevel="0" collapsed="false">
      <c r="A70" s="11" t="s">
        <v>278</v>
      </c>
      <c r="B70" s="11" t="s">
        <v>869</v>
      </c>
      <c r="C70" s="11" t="n">
        <v>2026</v>
      </c>
      <c r="D70" s="38" t="s">
        <v>867</v>
      </c>
    </row>
    <row r="71" customFormat="false" ht="22.5" hidden="false" customHeight="true" outlineLevel="0" collapsed="false">
      <c r="A71" s="11" t="s">
        <v>210</v>
      </c>
      <c r="B71" s="11" t="s">
        <v>869</v>
      </c>
      <c r="C71" s="11" t="n">
        <v>2026</v>
      </c>
      <c r="D71" s="38" t="s">
        <v>867</v>
      </c>
    </row>
    <row r="72" customFormat="false" ht="22.5" hidden="false" customHeight="true" outlineLevel="0" collapsed="false">
      <c r="A72" s="11" t="s">
        <v>299</v>
      </c>
      <c r="B72" s="11" t="s">
        <v>869</v>
      </c>
      <c r="C72" s="11" t="n">
        <v>2026</v>
      </c>
      <c r="D72" s="38" t="s">
        <v>867</v>
      </c>
    </row>
    <row r="73" customFormat="false" ht="22.5" hidden="false" customHeight="true" outlineLevel="0" collapsed="false">
      <c r="A73" s="11" t="s">
        <v>303</v>
      </c>
      <c r="B73" s="11" t="s">
        <v>869</v>
      </c>
      <c r="C73" s="11" t="n">
        <v>2026</v>
      </c>
      <c r="D73" s="38" t="s">
        <v>867</v>
      </c>
    </row>
    <row r="74" customFormat="false" ht="22.5" hidden="false" customHeight="true" outlineLevel="0" collapsed="false">
      <c r="A74" s="11" t="s">
        <v>324</v>
      </c>
      <c r="B74" s="11" t="s">
        <v>869</v>
      </c>
      <c r="C74" s="11" t="n">
        <v>2026</v>
      </c>
      <c r="D74" s="38" t="s">
        <v>867</v>
      </c>
    </row>
    <row r="75" customFormat="false" ht="22.5" hidden="false" customHeight="true" outlineLevel="0" collapsed="false">
      <c r="A75" s="11" t="s">
        <v>328</v>
      </c>
      <c r="B75" s="11" t="s">
        <v>869</v>
      </c>
      <c r="C75" s="11" t="n">
        <v>2026</v>
      </c>
      <c r="D75" s="38" t="s">
        <v>867</v>
      </c>
    </row>
    <row r="76" customFormat="false" ht="22.5" hidden="false" customHeight="true" outlineLevel="0" collapsed="false">
      <c r="A76" s="11" t="s">
        <v>339</v>
      </c>
      <c r="B76" s="11" t="s">
        <v>869</v>
      </c>
      <c r="C76" s="11" t="n">
        <v>2026</v>
      </c>
      <c r="D76" s="38" t="s">
        <v>867</v>
      </c>
    </row>
    <row r="77" customFormat="false" ht="22.5" hidden="false" customHeight="true" outlineLevel="0" collapsed="false">
      <c r="A77" s="11" t="s">
        <v>357</v>
      </c>
      <c r="B77" s="11" t="s">
        <v>869</v>
      </c>
      <c r="C77" s="11" t="n">
        <v>2026</v>
      </c>
      <c r="D77" s="38" t="s">
        <v>867</v>
      </c>
    </row>
    <row r="78" customFormat="false" ht="22.5" hidden="false" customHeight="true" outlineLevel="0" collapsed="false">
      <c r="A78" s="11" t="s">
        <v>361</v>
      </c>
      <c r="B78" s="11" t="s">
        <v>869</v>
      </c>
      <c r="C78" s="11" t="n">
        <v>2026</v>
      </c>
      <c r="D78" s="38" t="s">
        <v>867</v>
      </c>
    </row>
    <row r="79" customFormat="false" ht="22.5" hidden="false" customHeight="true" outlineLevel="0" collapsed="false">
      <c r="A79" s="11" t="s">
        <v>365</v>
      </c>
      <c r="B79" s="11" t="s">
        <v>869</v>
      </c>
      <c r="C79" s="11" t="n">
        <v>2026</v>
      </c>
      <c r="D79" s="38" t="s">
        <v>867</v>
      </c>
    </row>
    <row r="80" customFormat="false" ht="22.5" hidden="false" customHeight="true" outlineLevel="0" collapsed="false">
      <c r="A80" s="11" t="s">
        <v>111</v>
      </c>
      <c r="B80" s="11" t="s">
        <v>869</v>
      </c>
      <c r="C80" s="11" t="n">
        <v>2026</v>
      </c>
      <c r="D80" s="38" t="s">
        <v>867</v>
      </c>
    </row>
    <row r="81" customFormat="false" ht="22.5" hidden="false" customHeight="true" outlineLevel="0" collapsed="false">
      <c r="A81" s="11" t="s">
        <v>441</v>
      </c>
      <c r="B81" s="11" t="s">
        <v>870</v>
      </c>
      <c r="C81" s="11" t="n">
        <v>2026</v>
      </c>
      <c r="D81" s="38" t="s">
        <v>867</v>
      </c>
    </row>
    <row r="82" customFormat="false" ht="22.5" hidden="false" customHeight="true" outlineLevel="0" collapsed="false">
      <c r="A82" s="11" t="s">
        <v>449</v>
      </c>
      <c r="B82" s="11" t="s">
        <v>870</v>
      </c>
      <c r="C82" s="11" t="n">
        <v>2026</v>
      </c>
      <c r="D82" s="38" t="s">
        <v>867</v>
      </c>
    </row>
    <row r="83" customFormat="false" ht="22.5" hidden="false" customHeight="true" outlineLevel="0" collapsed="false">
      <c r="A83" s="11" t="s">
        <v>458</v>
      </c>
      <c r="B83" s="11" t="s">
        <v>870</v>
      </c>
      <c r="C83" s="11" t="n">
        <v>2026</v>
      </c>
      <c r="D83" s="38" t="s">
        <v>867</v>
      </c>
    </row>
    <row r="84" customFormat="false" ht="22.5" hidden="false" customHeight="true" outlineLevel="0" collapsed="false">
      <c r="A84" s="11" t="s">
        <v>462</v>
      </c>
      <c r="B84" s="11" t="s">
        <v>870</v>
      </c>
      <c r="C84" s="11" t="n">
        <v>2026</v>
      </c>
      <c r="D84" s="38" t="s">
        <v>867</v>
      </c>
    </row>
    <row r="85" customFormat="false" ht="22.5" hidden="false" customHeight="true" outlineLevel="0" collapsed="false">
      <c r="A85" s="11" t="s">
        <v>472</v>
      </c>
      <c r="B85" s="11" t="s">
        <v>870</v>
      </c>
      <c r="C85" s="11" t="n">
        <v>2026</v>
      </c>
      <c r="D85" s="38" t="s">
        <v>867</v>
      </c>
    </row>
    <row r="86" customFormat="false" ht="22.5" hidden="false" customHeight="true" outlineLevel="0" collapsed="false">
      <c r="A86" s="11" t="s">
        <v>476</v>
      </c>
      <c r="B86" s="11" t="s">
        <v>870</v>
      </c>
      <c r="C86" s="11" t="n">
        <v>2026</v>
      </c>
      <c r="D86" s="38" t="s">
        <v>867</v>
      </c>
    </row>
    <row r="87" customFormat="false" ht="22.5" hidden="false" customHeight="true" outlineLevel="0" collapsed="false">
      <c r="A87" s="11" t="s">
        <v>480</v>
      </c>
      <c r="B87" s="11" t="s">
        <v>870</v>
      </c>
      <c r="C87" s="11" t="n">
        <v>2026</v>
      </c>
      <c r="D87" s="38" t="s">
        <v>867</v>
      </c>
    </row>
    <row r="88" customFormat="false" ht="22.5" hidden="false" customHeight="true" outlineLevel="0" collapsed="false">
      <c r="A88" s="11" t="s">
        <v>484</v>
      </c>
      <c r="B88" s="11" t="s">
        <v>870</v>
      </c>
      <c r="C88" s="11" t="n">
        <v>2026</v>
      </c>
      <c r="D88" s="38" t="s">
        <v>867</v>
      </c>
    </row>
    <row r="89" customFormat="false" ht="22.5" hidden="false" customHeight="true" outlineLevel="0" collapsed="false">
      <c r="A89" s="11" t="s">
        <v>506</v>
      </c>
      <c r="B89" s="11" t="s">
        <v>870</v>
      </c>
      <c r="C89" s="11" t="n">
        <v>2026</v>
      </c>
      <c r="D89" s="38" t="s">
        <v>867</v>
      </c>
    </row>
    <row r="90" customFormat="false" ht="22.5" hidden="false" customHeight="true" outlineLevel="0" collapsed="false">
      <c r="A90" s="11" t="s">
        <v>510</v>
      </c>
      <c r="B90" s="11" t="s">
        <v>870</v>
      </c>
      <c r="C90" s="11" t="n">
        <v>2026</v>
      </c>
      <c r="D90" s="38" t="s">
        <v>867</v>
      </c>
    </row>
    <row r="91" customFormat="false" ht="22.5" hidden="false" customHeight="true" outlineLevel="0" collapsed="false">
      <c r="A91" s="11" t="s">
        <v>514</v>
      </c>
      <c r="B91" s="11" t="s">
        <v>870</v>
      </c>
      <c r="C91" s="11" t="n">
        <v>2026</v>
      </c>
      <c r="D91" s="38" t="s">
        <v>867</v>
      </c>
    </row>
    <row r="92" customFormat="false" ht="22.5" hidden="false" customHeight="true" outlineLevel="0" collapsed="false">
      <c r="A92" s="11" t="s">
        <v>537</v>
      </c>
      <c r="B92" s="11" t="s">
        <v>870</v>
      </c>
      <c r="C92" s="11" t="n">
        <v>2026</v>
      </c>
      <c r="D92" s="38" t="s">
        <v>867</v>
      </c>
    </row>
    <row r="93" customFormat="false" ht="22.5" hidden="false" customHeight="true" outlineLevel="0" collapsed="false">
      <c r="A93" s="11" t="s">
        <v>540</v>
      </c>
      <c r="B93" s="11" t="s">
        <v>870</v>
      </c>
      <c r="C93" s="11" t="n">
        <v>2026</v>
      </c>
      <c r="D93" s="38" t="s">
        <v>867</v>
      </c>
    </row>
    <row r="94" customFormat="false" ht="22.5" hidden="false" customHeight="true" outlineLevel="0" collapsed="false">
      <c r="A94" s="11" t="s">
        <v>544</v>
      </c>
      <c r="B94" s="11" t="s">
        <v>870</v>
      </c>
      <c r="C94" s="11" t="n">
        <v>2026</v>
      </c>
      <c r="D94" s="38" t="s">
        <v>867</v>
      </c>
    </row>
    <row r="95" customFormat="false" ht="22.5" hidden="false" customHeight="true" outlineLevel="0" collapsed="false">
      <c r="A95" s="11" t="s">
        <v>547</v>
      </c>
      <c r="B95" s="11" t="s">
        <v>870</v>
      </c>
      <c r="C95" s="11" t="n">
        <v>2026</v>
      </c>
      <c r="D95" s="38" t="s">
        <v>867</v>
      </c>
    </row>
    <row r="96" customFormat="false" ht="22.5" hidden="false" customHeight="true" outlineLevel="0" collapsed="false">
      <c r="A96" s="11" t="s">
        <v>551</v>
      </c>
      <c r="B96" s="11" t="s">
        <v>870</v>
      </c>
      <c r="C96" s="11" t="n">
        <v>2026</v>
      </c>
      <c r="D96" s="38" t="s">
        <v>867</v>
      </c>
    </row>
    <row r="97" customFormat="false" ht="22.5" hidden="false" customHeight="true" outlineLevel="0" collapsed="false">
      <c r="A97" s="11" t="s">
        <v>555</v>
      </c>
      <c r="B97" s="11" t="s">
        <v>870</v>
      </c>
      <c r="C97" s="11" t="n">
        <v>2026</v>
      </c>
      <c r="D97" s="38" t="s">
        <v>867</v>
      </c>
    </row>
    <row r="98" customFormat="false" ht="22.5" hidden="false" customHeight="true" outlineLevel="0" collapsed="false">
      <c r="A98" s="11" t="s">
        <v>559</v>
      </c>
      <c r="B98" s="11" t="s">
        <v>870</v>
      </c>
      <c r="C98" s="11" t="n">
        <v>2026</v>
      </c>
      <c r="D98" s="38" t="s">
        <v>867</v>
      </c>
    </row>
    <row r="99" customFormat="false" ht="22.5" hidden="false" customHeight="true" outlineLevel="0" collapsed="false">
      <c r="A99" s="11" t="s">
        <v>564</v>
      </c>
      <c r="B99" s="11" t="s">
        <v>870</v>
      </c>
      <c r="C99" s="11" t="n">
        <v>2026</v>
      </c>
      <c r="D99" s="38" t="s">
        <v>867</v>
      </c>
    </row>
    <row r="100" customFormat="false" ht="22.5" hidden="false" customHeight="true" outlineLevel="0" collapsed="false">
      <c r="A100" s="11" t="s">
        <v>567</v>
      </c>
      <c r="B100" s="11" t="s">
        <v>870</v>
      </c>
      <c r="C100" s="11" t="n">
        <v>2026</v>
      </c>
      <c r="D100" s="38" t="s">
        <v>867</v>
      </c>
    </row>
    <row r="101" customFormat="false" ht="22.5" hidden="false" customHeight="true" outlineLevel="0" collapsed="false">
      <c r="A101" s="11" t="s">
        <v>573</v>
      </c>
      <c r="B101" s="11" t="s">
        <v>870</v>
      </c>
      <c r="C101" s="11" t="n">
        <v>2026</v>
      </c>
      <c r="D101" s="38" t="s">
        <v>867</v>
      </c>
    </row>
    <row r="102" customFormat="false" ht="22.5" hidden="false" customHeight="true" outlineLevel="0" collapsed="false">
      <c r="A102" s="11" t="s">
        <v>582</v>
      </c>
      <c r="B102" s="11" t="s">
        <v>870</v>
      </c>
      <c r="C102" s="11" t="n">
        <v>2026</v>
      </c>
      <c r="D102" s="38" t="s">
        <v>867</v>
      </c>
    </row>
    <row r="103" customFormat="false" ht="22.5" hidden="false" customHeight="true" outlineLevel="0" collapsed="false">
      <c r="A103" s="11" t="s">
        <v>590</v>
      </c>
      <c r="B103" s="11" t="s">
        <v>870</v>
      </c>
      <c r="C103" s="11" t="n">
        <v>2026</v>
      </c>
      <c r="D103" s="38" t="s">
        <v>867</v>
      </c>
    </row>
    <row r="104" customFormat="false" ht="22.5" hidden="false" customHeight="true" outlineLevel="0" collapsed="false">
      <c r="A104" s="11" t="s">
        <v>594</v>
      </c>
      <c r="B104" s="11" t="s">
        <v>870</v>
      </c>
      <c r="C104" s="11" t="n">
        <v>2026</v>
      </c>
      <c r="D104" s="38" t="s">
        <v>867</v>
      </c>
    </row>
    <row r="105" customFormat="false" ht="22.5" hidden="false" customHeight="true" outlineLevel="0" collapsed="false">
      <c r="A105" s="11" t="s">
        <v>598</v>
      </c>
      <c r="B105" s="11" t="s">
        <v>870</v>
      </c>
      <c r="C105" s="11" t="n">
        <v>2026</v>
      </c>
      <c r="D105" s="38" t="s">
        <v>867</v>
      </c>
    </row>
    <row r="106" customFormat="false" ht="22.5" hidden="false" customHeight="true" outlineLevel="0" collapsed="false">
      <c r="A106" s="11" t="s">
        <v>610</v>
      </c>
      <c r="B106" s="11" t="s">
        <v>870</v>
      </c>
      <c r="C106" s="11" t="n">
        <v>2026</v>
      </c>
      <c r="D106" s="38" t="s">
        <v>867</v>
      </c>
    </row>
    <row r="107" customFormat="false" ht="22.5" hidden="false" customHeight="true" outlineLevel="0" collapsed="false">
      <c r="A107" s="11" t="s">
        <v>446</v>
      </c>
      <c r="B107" s="11" t="s">
        <v>871</v>
      </c>
      <c r="C107" s="11" t="n">
        <v>2026</v>
      </c>
      <c r="D107" s="38" t="s">
        <v>867</v>
      </c>
    </row>
    <row r="108" customFormat="false" ht="22.5" hidden="false" customHeight="true" outlineLevel="0" collapsed="false">
      <c r="A108" s="11" t="s">
        <v>453</v>
      </c>
      <c r="B108" s="11" t="s">
        <v>871</v>
      </c>
      <c r="C108" s="11" t="n">
        <v>2026</v>
      </c>
      <c r="D108" s="38" t="s">
        <v>867</v>
      </c>
    </row>
    <row r="109" customFormat="false" ht="22.5" hidden="false" customHeight="true" outlineLevel="0" collapsed="false">
      <c r="A109" s="11" t="s">
        <v>467</v>
      </c>
      <c r="B109" s="11" t="s">
        <v>871</v>
      </c>
      <c r="C109" s="11" t="n">
        <v>2026</v>
      </c>
      <c r="D109" s="38" t="s">
        <v>867</v>
      </c>
    </row>
    <row r="110" customFormat="false" ht="22.5" hidden="false" customHeight="true" outlineLevel="0" collapsed="false">
      <c r="A110" s="11" t="s">
        <v>493</v>
      </c>
      <c r="B110" s="11" t="s">
        <v>871</v>
      </c>
      <c r="C110" s="11" t="n">
        <v>2026</v>
      </c>
      <c r="D110" s="38" t="s">
        <v>867</v>
      </c>
    </row>
    <row r="111" customFormat="false" ht="22.5" hidden="false" customHeight="true" outlineLevel="0" collapsed="false">
      <c r="A111" s="11" t="s">
        <v>577</v>
      </c>
      <c r="B111" s="11" t="s">
        <v>871</v>
      </c>
      <c r="C111" s="11" t="n">
        <v>2026</v>
      </c>
      <c r="D111" s="38" t="s">
        <v>867</v>
      </c>
    </row>
    <row r="112" customFormat="false" ht="22.5" hidden="false" customHeight="true" outlineLevel="0" collapsed="false">
      <c r="A112" s="11" t="s">
        <v>586</v>
      </c>
      <c r="B112" s="11" t="s">
        <v>871</v>
      </c>
      <c r="C112" s="11" t="n">
        <v>2026</v>
      </c>
      <c r="D112" s="38" t="s">
        <v>867</v>
      </c>
    </row>
    <row r="113" customFormat="false" ht="22.5" hidden="false" customHeight="true" outlineLevel="0" collapsed="false">
      <c r="A113" s="11" t="s">
        <v>602</v>
      </c>
      <c r="B113" s="11" t="s">
        <v>871</v>
      </c>
      <c r="C113" s="11" t="n">
        <v>2026</v>
      </c>
      <c r="D113" s="38" t="s">
        <v>867</v>
      </c>
    </row>
    <row r="114" customFormat="false" ht="22.5" hidden="false" customHeight="true" outlineLevel="0" collapsed="false">
      <c r="A114" s="11" t="s">
        <v>606</v>
      </c>
      <c r="B114" s="11" t="s">
        <v>871</v>
      </c>
      <c r="C114" s="11" t="n">
        <v>2026</v>
      </c>
      <c r="D114" s="38" t="s">
        <v>867</v>
      </c>
    </row>
    <row r="115" customFormat="false" ht="22.5" hidden="false" customHeight="true" outlineLevel="0" collapsed="false">
      <c r="A115" s="11" t="s">
        <v>639</v>
      </c>
      <c r="B115" s="11" t="s">
        <v>871</v>
      </c>
      <c r="C115" s="11" t="n">
        <v>2026</v>
      </c>
      <c r="D115" s="38" t="s">
        <v>867</v>
      </c>
    </row>
    <row r="116" customFormat="false" ht="22.5" hidden="false" customHeight="true" outlineLevel="0" collapsed="false">
      <c r="A116" s="11" t="s">
        <v>643</v>
      </c>
      <c r="B116" s="11" t="s">
        <v>871</v>
      </c>
      <c r="C116" s="11" t="n">
        <v>2026</v>
      </c>
      <c r="D116" s="38" t="s">
        <v>867</v>
      </c>
    </row>
    <row r="117" customFormat="false" ht="22.5" hidden="false" customHeight="true" outlineLevel="0" collapsed="false">
      <c r="A117" s="11" t="s">
        <v>647</v>
      </c>
      <c r="B117" s="11" t="s">
        <v>871</v>
      </c>
      <c r="C117" s="11" t="n">
        <v>2026</v>
      </c>
      <c r="D117" s="38" t="s">
        <v>867</v>
      </c>
    </row>
    <row r="118" customFormat="false" ht="22.5" hidden="false" customHeight="true" outlineLevel="0" collapsed="false">
      <c r="A118" s="11" t="s">
        <v>651</v>
      </c>
      <c r="B118" s="11" t="s">
        <v>871</v>
      </c>
      <c r="C118" s="11" t="n">
        <v>2026</v>
      </c>
      <c r="D118" s="38" t="s">
        <v>867</v>
      </c>
    </row>
    <row r="119" customFormat="false" ht="22.5" hidden="false" customHeight="true" outlineLevel="0" collapsed="false">
      <c r="A119" s="11" t="s">
        <v>655</v>
      </c>
      <c r="B119" s="11" t="s">
        <v>871</v>
      </c>
      <c r="C119" s="11" t="n">
        <v>2026</v>
      </c>
      <c r="D119" s="38" t="s">
        <v>867</v>
      </c>
    </row>
    <row r="120" customFormat="false" ht="22.5" hidden="false" customHeight="true" outlineLevel="0" collapsed="false">
      <c r="A120" s="11" t="s">
        <v>660</v>
      </c>
      <c r="B120" s="11" t="s">
        <v>871</v>
      </c>
      <c r="C120" s="11" t="n">
        <v>2026</v>
      </c>
      <c r="D120" s="38" t="s">
        <v>867</v>
      </c>
    </row>
    <row r="121" customFormat="false" ht="22.5" hidden="false" customHeight="true" outlineLevel="0" collapsed="false">
      <c r="A121" s="11" t="s">
        <v>663</v>
      </c>
      <c r="B121" s="11" t="s">
        <v>871</v>
      </c>
      <c r="C121" s="11" t="n">
        <v>2026</v>
      </c>
      <c r="D121" s="38" t="s">
        <v>867</v>
      </c>
    </row>
    <row r="122" customFormat="false" ht="22.5" hidden="false" customHeight="true" outlineLevel="0" collapsed="false">
      <c r="A122" s="11" t="s">
        <v>667</v>
      </c>
      <c r="B122" s="11" t="s">
        <v>871</v>
      </c>
      <c r="C122" s="11" t="n">
        <v>2026</v>
      </c>
      <c r="D122" s="38" t="s">
        <v>867</v>
      </c>
    </row>
    <row r="123" customFormat="false" ht="22.5" hidden="false" customHeight="true" outlineLevel="0" collapsed="false">
      <c r="A123" s="11" t="s">
        <v>373</v>
      </c>
      <c r="B123" s="11" t="s">
        <v>871</v>
      </c>
      <c r="C123" s="11" t="n">
        <v>2026</v>
      </c>
      <c r="D123" s="38" t="s">
        <v>867</v>
      </c>
    </row>
    <row r="124" customFormat="false" ht="22.5" hidden="false" customHeight="true" outlineLevel="0" collapsed="false">
      <c r="A124" s="11" t="s">
        <v>672</v>
      </c>
      <c r="B124" s="11" t="s">
        <v>871</v>
      </c>
      <c r="C124" s="11" t="n">
        <v>2026</v>
      </c>
      <c r="D124" s="38" t="s">
        <v>867</v>
      </c>
    </row>
    <row r="125" customFormat="false" ht="22.5" hidden="false" customHeight="true" outlineLevel="0" collapsed="false">
      <c r="A125" s="11" t="s">
        <v>679</v>
      </c>
      <c r="B125" s="11" t="s">
        <v>871</v>
      </c>
      <c r="C125" s="11" t="n">
        <v>2026</v>
      </c>
      <c r="D125" s="38" t="s">
        <v>867</v>
      </c>
    </row>
    <row r="126" customFormat="false" ht="22.5" hidden="false" customHeight="true" outlineLevel="0" collapsed="false">
      <c r="A126" s="11" t="s">
        <v>684</v>
      </c>
      <c r="B126" s="11" t="s">
        <v>871</v>
      </c>
      <c r="C126" s="11" t="n">
        <v>2026</v>
      </c>
      <c r="D126" s="38" t="s">
        <v>867</v>
      </c>
    </row>
    <row r="127" customFormat="false" ht="22.5" hidden="false" customHeight="true" outlineLevel="0" collapsed="false">
      <c r="A127" s="11" t="s">
        <v>688</v>
      </c>
      <c r="B127" s="11" t="s">
        <v>871</v>
      </c>
      <c r="C127" s="11" t="n">
        <v>2026</v>
      </c>
      <c r="D127" s="38" t="s">
        <v>867</v>
      </c>
    </row>
    <row r="128" customFormat="false" ht="22.5" hidden="false" customHeight="true" outlineLevel="0" collapsed="false">
      <c r="A128" s="11" t="s">
        <v>692</v>
      </c>
      <c r="B128" s="11" t="s">
        <v>871</v>
      </c>
      <c r="C128" s="11" t="n">
        <v>2026</v>
      </c>
      <c r="D128" s="38" t="s">
        <v>867</v>
      </c>
    </row>
    <row r="129" customFormat="false" ht="22.5" hidden="false" customHeight="true" outlineLevel="0" collapsed="false">
      <c r="A129" s="11" t="s">
        <v>696</v>
      </c>
      <c r="B129" s="11" t="s">
        <v>871</v>
      </c>
      <c r="C129" s="11" t="n">
        <v>2026</v>
      </c>
      <c r="D129" s="38" t="s">
        <v>867</v>
      </c>
    </row>
    <row r="130" customFormat="false" ht="22.5" hidden="false" customHeight="true" outlineLevel="0" collapsed="false">
      <c r="A130" s="11" t="s">
        <v>700</v>
      </c>
      <c r="B130" s="11" t="s">
        <v>871</v>
      </c>
      <c r="C130" s="11" t="n">
        <v>2026</v>
      </c>
      <c r="D130" s="38" t="s">
        <v>867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86E8"/>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 zeroHeight="false" outlineLevelRow="0" outlineLevelCol="0"/>
  <cols>
    <col collapsed="false" customWidth="true" hidden="false" outlineLevel="0" max="4" min="1" style="1" width="22.63"/>
  </cols>
  <sheetData>
    <row r="1" customFormat="false" ht="22.5" hidden="false" customHeight="true" outlineLevel="0" collapsed="false">
      <c r="A1" s="43" t="s">
        <v>65</v>
      </c>
      <c r="B1" s="43" t="s">
        <v>863</v>
      </c>
      <c r="C1" s="43" t="s">
        <v>864</v>
      </c>
      <c r="D1" s="43" t="s">
        <v>865</v>
      </c>
    </row>
    <row r="2" customFormat="false" ht="22.5" hidden="false" customHeight="true" outlineLevel="0" collapsed="false">
      <c r="A2" s="11" t="s">
        <v>124</v>
      </c>
      <c r="B2" s="11" t="s">
        <v>866</v>
      </c>
      <c r="C2" s="11" t="n">
        <v>2026</v>
      </c>
      <c r="D2" s="11" t="s">
        <v>872</v>
      </c>
    </row>
    <row r="3" customFormat="false" ht="22.5" hidden="false" customHeight="true" outlineLevel="0" collapsed="false">
      <c r="A3" s="11" t="s">
        <v>170</v>
      </c>
      <c r="B3" s="11" t="s">
        <v>866</v>
      </c>
      <c r="C3" s="11" t="n">
        <v>2026</v>
      </c>
      <c r="D3" s="11" t="s">
        <v>872</v>
      </c>
    </row>
    <row r="4" customFormat="false" ht="22.5" hidden="false" customHeight="true" outlineLevel="0" collapsed="false">
      <c r="A4" s="11" t="s">
        <v>166</v>
      </c>
      <c r="B4" s="11" t="s">
        <v>866</v>
      </c>
      <c r="C4" s="11" t="n">
        <v>2026</v>
      </c>
      <c r="D4" s="11" t="s">
        <v>872</v>
      </c>
    </row>
    <row r="5" customFormat="false" ht="22.5" hidden="false" customHeight="true" outlineLevel="0" collapsed="false">
      <c r="A5" s="11" t="s">
        <v>395</v>
      </c>
      <c r="B5" s="11" t="s">
        <v>866</v>
      </c>
      <c r="C5" s="11" t="n">
        <v>2026</v>
      </c>
      <c r="D5" s="11" t="s">
        <v>872</v>
      </c>
    </row>
    <row r="6" customFormat="false" ht="22.5" hidden="false" customHeight="true" outlineLevel="0" collapsed="false">
      <c r="A6" s="11" t="s">
        <v>185</v>
      </c>
      <c r="B6" s="11" t="s">
        <v>866</v>
      </c>
      <c r="C6" s="11" t="n">
        <v>2026</v>
      </c>
      <c r="D6" s="11" t="s">
        <v>872</v>
      </c>
    </row>
    <row r="7" customFormat="false" ht="22.5" hidden="false" customHeight="true" outlineLevel="0" collapsed="false">
      <c r="A7" s="11" t="s">
        <v>373</v>
      </c>
      <c r="B7" s="11" t="s">
        <v>873</v>
      </c>
      <c r="C7" s="11" t="n">
        <v>2026</v>
      </c>
      <c r="D7" s="11" t="s">
        <v>872</v>
      </c>
    </row>
    <row r="8" customFormat="false" ht="22.5" hidden="false" customHeight="true" outlineLevel="0" collapsed="false">
      <c r="A8" s="11" t="s">
        <v>377</v>
      </c>
      <c r="B8" s="11" t="s">
        <v>873</v>
      </c>
      <c r="C8" s="11" t="n">
        <v>2026</v>
      </c>
      <c r="D8" s="11" t="s">
        <v>872</v>
      </c>
    </row>
    <row r="9" customFormat="false" ht="22.5" hidden="false" customHeight="true" outlineLevel="0" collapsed="false">
      <c r="A9" s="11" t="s">
        <v>382</v>
      </c>
      <c r="B9" s="11" t="s">
        <v>873</v>
      </c>
      <c r="C9" s="11" t="n">
        <v>2026</v>
      </c>
      <c r="D9" s="11" t="s">
        <v>872</v>
      </c>
    </row>
    <row r="10" customFormat="false" ht="22.5" hidden="false" customHeight="true" outlineLevel="0" collapsed="false">
      <c r="A10" s="11" t="s">
        <v>386</v>
      </c>
      <c r="B10" s="11" t="s">
        <v>873</v>
      </c>
      <c r="C10" s="11" t="n">
        <v>2026</v>
      </c>
      <c r="D10" s="11" t="s">
        <v>872</v>
      </c>
    </row>
    <row r="11" customFormat="false" ht="22.5" hidden="false" customHeight="true" outlineLevel="0" collapsed="false">
      <c r="A11" s="11" t="s">
        <v>123</v>
      </c>
      <c r="B11" s="11" t="s">
        <v>873</v>
      </c>
      <c r="C11" s="11" t="n">
        <v>2026</v>
      </c>
      <c r="D11" s="11" t="s">
        <v>872</v>
      </c>
    </row>
    <row r="12" customFormat="false" ht="22.5" hidden="false" customHeight="true" outlineLevel="0" collapsed="false">
      <c r="A12" s="11" t="s">
        <v>391</v>
      </c>
      <c r="B12" s="11" t="s">
        <v>873</v>
      </c>
      <c r="C12" s="11" t="n">
        <v>2026</v>
      </c>
      <c r="D12" s="11" t="s">
        <v>872</v>
      </c>
    </row>
    <row r="13" customFormat="false" ht="22.5" hidden="false" customHeight="true" outlineLevel="0" collapsed="false">
      <c r="A13" s="11" t="s">
        <v>324</v>
      </c>
      <c r="B13" s="11" t="s">
        <v>869</v>
      </c>
      <c r="C13" s="11" t="n">
        <v>2026</v>
      </c>
      <c r="D13" s="11" t="s">
        <v>872</v>
      </c>
    </row>
    <row r="14" customFormat="false" ht="22.5" hidden="false" customHeight="true" outlineLevel="0" collapsed="false">
      <c r="A14" s="11" t="s">
        <v>241</v>
      </c>
      <c r="B14" s="11" t="s">
        <v>869</v>
      </c>
      <c r="C14" s="11" t="n">
        <v>2026</v>
      </c>
      <c r="D14" s="11" t="s">
        <v>872</v>
      </c>
    </row>
    <row r="15" customFormat="false" ht="22.5" hidden="false" customHeight="true" outlineLevel="0" collapsed="false">
      <c r="A15" s="11" t="s">
        <v>111</v>
      </c>
      <c r="B15" s="11" t="s">
        <v>869</v>
      </c>
      <c r="C15" s="11" t="n">
        <v>2026</v>
      </c>
      <c r="D15" s="11" t="s">
        <v>872</v>
      </c>
    </row>
    <row r="16" customFormat="false" ht="22.5" hidden="false" customHeight="true" outlineLevel="0" collapsed="false">
      <c r="A16" s="11" t="s">
        <v>401</v>
      </c>
      <c r="B16" s="11" t="s">
        <v>869</v>
      </c>
      <c r="C16" s="11" t="n">
        <v>2026</v>
      </c>
      <c r="D16" s="11" t="s">
        <v>872</v>
      </c>
    </row>
    <row r="17" customFormat="false" ht="22.5" hidden="false" customHeight="true" outlineLevel="0" collapsed="false">
      <c r="A17" s="11" t="s">
        <v>406</v>
      </c>
      <c r="B17" s="11" t="s">
        <v>869</v>
      </c>
      <c r="C17" s="11" t="n">
        <v>2026</v>
      </c>
      <c r="D17" s="11" t="s">
        <v>872</v>
      </c>
    </row>
    <row r="18" customFormat="false" ht="22.5" hidden="false" customHeight="true" outlineLevel="0" collapsed="false">
      <c r="A18" s="11" t="s">
        <v>617</v>
      </c>
      <c r="B18" s="11" t="s">
        <v>870</v>
      </c>
      <c r="C18" s="11" t="n">
        <v>2026</v>
      </c>
      <c r="D18" s="11" t="s">
        <v>872</v>
      </c>
    </row>
    <row r="19" customFormat="false" ht="22.5" hidden="false" customHeight="true" outlineLevel="0" collapsed="false">
      <c r="A19" s="11" t="s">
        <v>237</v>
      </c>
      <c r="B19" s="11" t="s">
        <v>870</v>
      </c>
      <c r="C19" s="11" t="n">
        <v>2026</v>
      </c>
      <c r="D19" s="11" t="s">
        <v>872</v>
      </c>
    </row>
    <row r="20" customFormat="false" ht="22.5" hidden="false" customHeight="true" outlineLevel="0" collapsed="false">
      <c r="A20" s="11" t="s">
        <v>621</v>
      </c>
      <c r="B20" s="11" t="s">
        <v>870</v>
      </c>
      <c r="C20" s="11" t="n">
        <v>2026</v>
      </c>
      <c r="D20" s="11" t="s">
        <v>872</v>
      </c>
    </row>
    <row r="21" customFormat="false" ht="22.5" hidden="false" customHeight="true" outlineLevel="0" collapsed="false">
      <c r="A21" s="11" t="s">
        <v>625</v>
      </c>
      <c r="B21" s="11" t="s">
        <v>870</v>
      </c>
      <c r="C21" s="11" t="n">
        <v>2026</v>
      </c>
      <c r="D21" s="11" t="s">
        <v>872</v>
      </c>
    </row>
    <row r="22" customFormat="false" ht="22.5" hidden="false" customHeight="true" outlineLevel="0" collapsed="false">
      <c r="A22" s="11" t="s">
        <v>55</v>
      </c>
      <c r="B22" s="11" t="s">
        <v>870</v>
      </c>
      <c r="C22" s="11" t="n">
        <v>2026</v>
      </c>
      <c r="D22" s="11" t="s">
        <v>872</v>
      </c>
    </row>
    <row r="23" customFormat="false" ht="22.5" hidden="false" customHeight="true" outlineLevel="0" collapsed="false">
      <c r="A23" s="11" t="s">
        <v>718</v>
      </c>
      <c r="B23" s="11" t="s">
        <v>871</v>
      </c>
      <c r="C23" s="11" t="n">
        <v>2026</v>
      </c>
      <c r="D23" s="11" t="s">
        <v>872</v>
      </c>
    </row>
    <row r="24" customFormat="false" ht="22.5" hidden="false" customHeight="true" outlineLevel="0" collapsed="false">
      <c r="A24" s="11" t="s">
        <v>721</v>
      </c>
      <c r="B24" s="11" t="s">
        <v>871</v>
      </c>
      <c r="C24" s="11" t="n">
        <v>2026</v>
      </c>
      <c r="D24" s="11" t="s">
        <v>872</v>
      </c>
    </row>
    <row r="25" customFormat="false" ht="22.5" hidden="false" customHeight="true" outlineLevel="0" collapsed="false">
      <c r="A25" s="11" t="s">
        <v>724</v>
      </c>
      <c r="B25" s="11" t="s">
        <v>871</v>
      </c>
      <c r="C25" s="11" t="n">
        <v>2026</v>
      </c>
      <c r="D25" s="11" t="s">
        <v>872</v>
      </c>
    </row>
    <row r="26" customFormat="false" ht="22.5" hidden="false" customHeight="true" outlineLevel="0" collapsed="false">
      <c r="A26" s="11" t="s">
        <v>291</v>
      </c>
      <c r="B26" s="11" t="s">
        <v>871</v>
      </c>
      <c r="C26" s="11" t="n">
        <v>2026</v>
      </c>
      <c r="D26" s="11" t="s">
        <v>872</v>
      </c>
    </row>
    <row r="27" customFormat="false" ht="22.5" hidden="false" customHeight="true" outlineLevel="0" collapsed="false">
      <c r="A27" s="11" t="s">
        <v>729</v>
      </c>
      <c r="B27" s="11" t="s">
        <v>871</v>
      </c>
      <c r="C27" s="11" t="n">
        <v>2026</v>
      </c>
      <c r="D27" s="11" t="s">
        <v>872</v>
      </c>
    </row>
    <row r="28" customFormat="false" ht="22.5" hidden="false" customHeight="true" outlineLevel="0" collapsed="false">
      <c r="A28" s="11" t="s">
        <v>647</v>
      </c>
      <c r="B28" s="11" t="s">
        <v>874</v>
      </c>
      <c r="C28" s="11" t="n">
        <v>2026</v>
      </c>
      <c r="D28" s="11" t="s">
        <v>872</v>
      </c>
    </row>
    <row r="29" customFormat="false" ht="22.5" hidden="false" customHeight="true" outlineLevel="0" collapsed="false">
      <c r="A29" s="11" t="s">
        <v>854</v>
      </c>
      <c r="B29" s="11" t="s">
        <v>874</v>
      </c>
      <c r="C29" s="11" t="n">
        <v>2026</v>
      </c>
      <c r="D29" s="11" t="s">
        <v>872</v>
      </c>
    </row>
    <row r="30" customFormat="false" ht="22.5" hidden="false" customHeight="true" outlineLevel="0" collapsed="false">
      <c r="A30" s="11" t="s">
        <v>856</v>
      </c>
      <c r="B30" s="11" t="s">
        <v>874</v>
      </c>
      <c r="C30" s="11" t="n">
        <v>2026</v>
      </c>
      <c r="D30" s="11" t="s">
        <v>872</v>
      </c>
    </row>
    <row r="31" customFormat="false" ht="22.5" hidden="false" customHeight="true" outlineLevel="0" collapsed="false">
      <c r="A31" s="11" t="s">
        <v>63</v>
      </c>
      <c r="B31" s="11" t="s">
        <v>874</v>
      </c>
      <c r="C31" s="11" t="n">
        <v>2026</v>
      </c>
      <c r="D31" s="11" t="s">
        <v>872</v>
      </c>
    </row>
    <row r="32" customFormat="false" ht="22.5" hidden="false" customHeight="true" outlineLevel="0" collapsed="false">
      <c r="A32" s="11" t="s">
        <v>858</v>
      </c>
      <c r="B32" s="11" t="s">
        <v>874</v>
      </c>
      <c r="C32" s="11" t="n">
        <v>2026</v>
      </c>
      <c r="D32" s="11" t="s">
        <v>872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9900"/>
    <pageSetUpPr fitToPage="false"/>
  </sheetPr>
  <dimension ref="A2:C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38.38"/>
    <col collapsed="false" customWidth="true" hidden="false" outlineLevel="0" max="3" min="3" style="1" width="47.25"/>
  </cols>
  <sheetData>
    <row r="2" customFormat="false" ht="15" hidden="false" customHeight="false" outlineLevel="0" collapsed="false">
      <c r="A2" s="44" t="s">
        <v>875</v>
      </c>
      <c r="C2" s="44" t="s">
        <v>876</v>
      </c>
    </row>
    <row r="3" customFormat="false" ht="15" hidden="false" customHeight="false" outlineLevel="0" collapsed="false">
      <c r="A3" s="45" t="s">
        <v>877</v>
      </c>
      <c r="C3" s="45" t="s">
        <v>878</v>
      </c>
    </row>
    <row r="4" customFormat="false" ht="15" hidden="false" customHeight="false" outlineLevel="0" collapsed="false">
      <c r="A4" s="46" t="s">
        <v>879</v>
      </c>
      <c r="C4" s="46" t="s">
        <v>880</v>
      </c>
    </row>
    <row r="5" customFormat="false" ht="15" hidden="false" customHeight="false" outlineLevel="0" collapsed="false">
      <c r="A5" s="46" t="s">
        <v>881</v>
      </c>
      <c r="C5" s="46" t="s">
        <v>882</v>
      </c>
    </row>
    <row r="6" customFormat="false" ht="15" hidden="false" customHeight="false" outlineLevel="0" collapsed="false">
      <c r="A6" s="46" t="s">
        <v>883</v>
      </c>
      <c r="C6" s="46" t="s">
        <v>884</v>
      </c>
    </row>
    <row r="7" customFormat="false" ht="15" hidden="false" customHeight="false" outlineLevel="0" collapsed="false">
      <c r="A7" s="46" t="s">
        <v>885</v>
      </c>
    </row>
    <row r="8" customFormat="false" ht="15" hidden="false" customHeight="false" outlineLevel="0" collapsed="false">
      <c r="A8" s="46" t="s">
        <v>886</v>
      </c>
    </row>
    <row r="9" customFormat="false" ht="15" hidden="false" customHeight="false" outlineLevel="0" collapsed="false">
      <c r="A9" s="46" t="s">
        <v>887</v>
      </c>
    </row>
    <row r="10" customFormat="false" ht="15" hidden="false" customHeight="false" outlineLevel="0" collapsed="false">
      <c r="A10" s="45" t="s">
        <v>888</v>
      </c>
    </row>
    <row r="11" customFormat="false" ht="15" hidden="false" customHeight="false" outlineLevel="0" collapsed="false">
      <c r="A11" s="46" t="s">
        <v>889</v>
      </c>
    </row>
    <row r="12" customFormat="false" ht="15" hidden="false" customHeight="false" outlineLevel="0" collapsed="false">
      <c r="A12" s="46" t="s">
        <v>890</v>
      </c>
    </row>
    <row r="13" customFormat="false" ht="15" hidden="false" customHeight="false" outlineLevel="0" collapsed="false">
      <c r="A13" s="46" t="s">
        <v>891</v>
      </c>
    </row>
    <row r="14" customFormat="false" ht="15" hidden="false" customHeight="false" outlineLevel="0" collapsed="false">
      <c r="A14" s="45" t="s">
        <v>878</v>
      </c>
    </row>
    <row r="15" customFormat="false" ht="15" hidden="false" customHeight="false" outlineLevel="0" collapsed="false">
      <c r="A15" s="46" t="s">
        <v>892</v>
      </c>
    </row>
    <row r="16" customFormat="false" ht="15" hidden="false" customHeight="false" outlineLevel="0" collapsed="false">
      <c r="A16" s="46" t="s">
        <v>893</v>
      </c>
    </row>
    <row r="17" customFormat="false" ht="15" hidden="false" customHeight="false" outlineLevel="0" collapsed="false">
      <c r="A17" s="46" t="s">
        <v>894</v>
      </c>
    </row>
    <row r="18" customFormat="false" ht="15" hidden="false" customHeight="false" outlineLevel="0" collapsed="false">
      <c r="A18" s="46" t="s">
        <v>895</v>
      </c>
    </row>
    <row r="19" customFormat="false" ht="15" hidden="false" customHeight="false" outlineLevel="0" collapsed="false">
      <c r="A19" s="46" t="s">
        <v>896</v>
      </c>
    </row>
    <row r="20" customFormat="false" ht="15" hidden="false" customHeight="false" outlineLevel="0" collapsed="false">
      <c r="A20" s="46" t="s">
        <v>897</v>
      </c>
    </row>
    <row r="21" customFormat="false" ht="15" hidden="false" customHeight="false" outlineLevel="0" collapsed="false">
      <c r="A21" s="46" t="s">
        <v>898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LibreOffice/24.2.5.2$Windows_X86_64 LibreOffice_project/bffef4ea93e59bebbeaf7f431bb02b1a39ee8a59</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es-CO</dc:language>
  <cp:lastModifiedBy/>
  <dcterms:modified xsi:type="dcterms:W3CDTF">2026-06-18T14:22:12Z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